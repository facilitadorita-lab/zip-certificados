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s.santos\Downloads\"/>
    </mc:Choice>
  </mc:AlternateContent>
  <xr:revisionPtr revIDLastSave="0" documentId="13_ncr:1_{00DB4AA8-BFB1-4A5F-9CCC-CA41B6477C24}" xr6:coauthVersionLast="47" xr6:coauthVersionMax="47" xr10:uidLastSave="{00000000-0000-0000-0000-000000000000}"/>
  <bookViews>
    <workbookView xWindow="-120" yWindow="-120" windowWidth="20730" windowHeight="11040" xr2:uid="{9DF6F863-6AE7-4756-B71C-E76531925279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263" i="1" l="1"/>
  <c r="O263" i="1"/>
  <c r="Y262" i="1"/>
  <c r="O262" i="1"/>
  <c r="Y261" i="1"/>
  <c r="O261" i="1"/>
  <c r="Y260" i="1"/>
  <c r="O260" i="1"/>
  <c r="Y259" i="1"/>
  <c r="O259" i="1"/>
  <c r="Y258" i="1"/>
  <c r="O258" i="1"/>
  <c r="Y257" i="1"/>
  <c r="X257" i="1"/>
  <c r="U257" i="1"/>
  <c r="R257" i="1"/>
  <c r="O257" i="1"/>
  <c r="N257" i="1"/>
  <c r="L257" i="1"/>
  <c r="J257" i="1"/>
  <c r="H257" i="1"/>
  <c r="D257" i="1"/>
  <c r="Y256" i="1"/>
  <c r="O256" i="1"/>
  <c r="Y255" i="1"/>
  <c r="O255" i="1"/>
  <c r="Y254" i="1"/>
  <c r="X254" i="1"/>
  <c r="U254" i="1"/>
  <c r="R254" i="1"/>
  <c r="O254" i="1"/>
  <c r="N254" i="1"/>
  <c r="L254" i="1"/>
  <c r="J254" i="1"/>
  <c r="H254" i="1"/>
  <c r="D254" i="1"/>
  <c r="Y253" i="1"/>
  <c r="X253" i="1"/>
  <c r="U253" i="1"/>
  <c r="R253" i="1"/>
  <c r="O253" i="1"/>
  <c r="N253" i="1"/>
  <c r="L253" i="1"/>
  <c r="J253" i="1"/>
  <c r="H253" i="1"/>
  <c r="D253" i="1"/>
  <c r="Y252" i="1"/>
  <c r="O252" i="1"/>
  <c r="Y251" i="1"/>
  <c r="O251" i="1"/>
  <c r="Y250" i="1"/>
  <c r="O250" i="1"/>
  <c r="D250" i="1"/>
  <c r="Y249" i="1"/>
  <c r="O249" i="1"/>
  <c r="Y248" i="1"/>
  <c r="O248" i="1"/>
  <c r="Y247" i="1"/>
  <c r="X247" i="1"/>
  <c r="U247" i="1"/>
  <c r="R247" i="1"/>
  <c r="N247" i="1"/>
  <c r="L247" i="1"/>
  <c r="O247" i="1" s="1"/>
  <c r="J247" i="1"/>
  <c r="H247" i="1"/>
  <c r="D247" i="1"/>
  <c r="Y246" i="1"/>
  <c r="O246" i="1"/>
  <c r="Y245" i="1"/>
  <c r="O245" i="1"/>
  <c r="Y244" i="1"/>
  <c r="O244" i="1"/>
  <c r="Y243" i="1"/>
  <c r="O243" i="1"/>
  <c r="X242" i="1"/>
  <c r="U242" i="1"/>
  <c r="R242" i="1"/>
  <c r="Y242" i="1" s="1"/>
  <c r="O242" i="1"/>
  <c r="N242" i="1"/>
  <c r="L242" i="1"/>
  <c r="J242" i="1"/>
  <c r="H242" i="1"/>
  <c r="D242" i="1"/>
  <c r="Y241" i="1"/>
  <c r="O241" i="1"/>
  <c r="Y240" i="1"/>
  <c r="O240" i="1"/>
  <c r="Y239" i="1"/>
  <c r="O239" i="1"/>
  <c r="Y238" i="1"/>
  <c r="X238" i="1"/>
  <c r="U238" i="1"/>
  <c r="R238" i="1"/>
  <c r="O238" i="1"/>
  <c r="N238" i="1"/>
  <c r="L238" i="1"/>
  <c r="J238" i="1"/>
  <c r="H238" i="1"/>
  <c r="D238" i="1"/>
  <c r="Y237" i="1"/>
  <c r="O237" i="1"/>
  <c r="Y236" i="1"/>
  <c r="O236" i="1"/>
  <c r="Y235" i="1"/>
  <c r="O235" i="1"/>
  <c r="Y234" i="1"/>
  <c r="O234" i="1"/>
  <c r="Y233" i="1"/>
  <c r="X233" i="1"/>
  <c r="U233" i="1"/>
  <c r="R233" i="1"/>
  <c r="O233" i="1"/>
  <c r="N233" i="1"/>
  <c r="L233" i="1"/>
  <c r="J233" i="1"/>
  <c r="H233" i="1"/>
  <c r="D233" i="1"/>
  <c r="Y232" i="1"/>
  <c r="O232" i="1"/>
  <c r="X231" i="1"/>
  <c r="U231" i="1"/>
  <c r="Y231" i="1" s="1"/>
  <c r="R231" i="1"/>
  <c r="N231" i="1"/>
  <c r="L231" i="1"/>
  <c r="O231" i="1" s="1"/>
  <c r="J231" i="1"/>
  <c r="H231" i="1"/>
  <c r="D231" i="1"/>
  <c r="Y230" i="1"/>
  <c r="O230" i="1"/>
  <c r="Y229" i="1"/>
  <c r="O229" i="1"/>
  <c r="Y228" i="1"/>
  <c r="O228" i="1"/>
  <c r="Y227" i="1"/>
  <c r="O227" i="1"/>
  <c r="Y226" i="1"/>
  <c r="O226" i="1"/>
  <c r="Y225" i="1"/>
  <c r="O225" i="1"/>
  <c r="Y224" i="1"/>
  <c r="O224" i="1"/>
  <c r="Y223" i="1"/>
  <c r="O223" i="1"/>
  <c r="Y222" i="1"/>
  <c r="O222" i="1"/>
  <c r="Y221" i="1"/>
  <c r="O221" i="1"/>
  <c r="Y220" i="1"/>
  <c r="X220" i="1"/>
  <c r="U220" i="1"/>
  <c r="R220" i="1"/>
  <c r="N220" i="1"/>
  <c r="L220" i="1"/>
  <c r="J220" i="1"/>
  <c r="H220" i="1"/>
  <c r="O220" i="1" s="1"/>
  <c r="D220" i="1"/>
  <c r="Y219" i="1"/>
  <c r="O219" i="1"/>
  <c r="Y218" i="1"/>
  <c r="X218" i="1"/>
  <c r="U218" i="1"/>
  <c r="R218" i="1"/>
  <c r="O218" i="1"/>
  <c r="N218" i="1"/>
  <c r="L218" i="1"/>
  <c r="J218" i="1"/>
  <c r="H218" i="1"/>
  <c r="D218" i="1"/>
  <c r="Y217" i="1"/>
  <c r="O217" i="1"/>
  <c r="Y216" i="1"/>
  <c r="O216" i="1"/>
  <c r="Y215" i="1"/>
  <c r="O215" i="1"/>
  <c r="Y214" i="1"/>
  <c r="X214" i="1"/>
  <c r="U214" i="1"/>
  <c r="R214" i="1"/>
  <c r="O214" i="1"/>
  <c r="N214" i="1"/>
  <c r="L214" i="1"/>
  <c r="J214" i="1"/>
  <c r="H214" i="1"/>
  <c r="D214" i="1"/>
  <c r="Y213" i="1"/>
  <c r="O213" i="1"/>
  <c r="Y212" i="1"/>
  <c r="O212" i="1"/>
  <c r="Y211" i="1"/>
  <c r="O211" i="1"/>
  <c r="D211" i="1"/>
  <c r="Y210" i="1"/>
  <c r="O210" i="1"/>
  <c r="Y209" i="1"/>
  <c r="O209" i="1"/>
  <c r="Y208" i="1"/>
  <c r="O208" i="1"/>
  <c r="Y207" i="1"/>
  <c r="X207" i="1"/>
  <c r="U207" i="1"/>
  <c r="R207" i="1"/>
  <c r="O207" i="1"/>
  <c r="N207" i="1"/>
  <c r="L207" i="1"/>
  <c r="J207" i="1"/>
  <c r="H207" i="1"/>
  <c r="D207" i="1"/>
  <c r="Y206" i="1"/>
  <c r="O206" i="1"/>
  <c r="Y205" i="1"/>
  <c r="O205" i="1"/>
  <c r="Y204" i="1"/>
  <c r="O204" i="1"/>
  <c r="Y203" i="1"/>
  <c r="O203" i="1"/>
  <c r="Y202" i="1"/>
  <c r="O202" i="1"/>
  <c r="Y201" i="1"/>
  <c r="O201" i="1"/>
  <c r="Y200" i="1"/>
  <c r="O200" i="1"/>
  <c r="Y199" i="1"/>
  <c r="O199" i="1"/>
  <c r="Y198" i="1"/>
  <c r="O198" i="1"/>
  <c r="Y197" i="1"/>
  <c r="O197" i="1"/>
  <c r="Y196" i="1"/>
  <c r="O196" i="1"/>
  <c r="Y195" i="1"/>
  <c r="O195" i="1"/>
  <c r="Y194" i="1"/>
  <c r="O194" i="1"/>
  <c r="Y193" i="1"/>
  <c r="O193" i="1"/>
  <c r="Y192" i="1"/>
  <c r="X192" i="1"/>
  <c r="U192" i="1"/>
  <c r="R192" i="1"/>
  <c r="O192" i="1"/>
  <c r="N192" i="1"/>
  <c r="L192" i="1"/>
  <c r="J192" i="1"/>
  <c r="H192" i="1"/>
  <c r="D192" i="1"/>
  <c r="Y191" i="1"/>
  <c r="O191" i="1"/>
  <c r="Y190" i="1"/>
  <c r="O190" i="1"/>
  <c r="Y189" i="1"/>
  <c r="X189" i="1"/>
  <c r="U189" i="1"/>
  <c r="R189" i="1"/>
  <c r="O189" i="1"/>
  <c r="N189" i="1"/>
  <c r="L189" i="1"/>
  <c r="J189" i="1"/>
  <c r="H189" i="1"/>
  <c r="D189" i="1"/>
  <c r="Y188" i="1"/>
  <c r="X188" i="1"/>
  <c r="U188" i="1"/>
  <c r="R188" i="1"/>
  <c r="O188" i="1"/>
  <c r="N188" i="1"/>
  <c r="L188" i="1"/>
  <c r="J188" i="1"/>
  <c r="H188" i="1"/>
  <c r="D188" i="1"/>
  <c r="Y187" i="1"/>
  <c r="X187" i="1"/>
  <c r="U187" i="1"/>
  <c r="R187" i="1"/>
  <c r="O187" i="1"/>
  <c r="N187" i="1"/>
  <c r="L187" i="1"/>
  <c r="J187" i="1"/>
  <c r="H187" i="1"/>
  <c r="D187" i="1"/>
  <c r="Y186" i="1"/>
  <c r="O186" i="1"/>
  <c r="Y185" i="1"/>
  <c r="O185" i="1"/>
  <c r="Y184" i="1"/>
  <c r="O184" i="1"/>
  <c r="Y183" i="1"/>
  <c r="O183" i="1"/>
  <c r="Y182" i="1"/>
  <c r="O182" i="1"/>
  <c r="Y181" i="1"/>
  <c r="O181" i="1"/>
  <c r="Y180" i="1"/>
  <c r="O180" i="1"/>
  <c r="Y179" i="1"/>
  <c r="O179" i="1"/>
  <c r="Y178" i="1"/>
  <c r="O178" i="1"/>
  <c r="Y177" i="1"/>
  <c r="O177" i="1"/>
  <c r="Y176" i="1"/>
  <c r="X176" i="1"/>
  <c r="U176" i="1"/>
  <c r="R176" i="1"/>
  <c r="O176" i="1"/>
  <c r="N176" i="1"/>
  <c r="L176" i="1"/>
  <c r="J176" i="1"/>
  <c r="H176" i="1"/>
  <c r="D176" i="1"/>
  <c r="Y175" i="1"/>
  <c r="O175" i="1"/>
  <c r="Y174" i="1"/>
  <c r="O174" i="1"/>
  <c r="Y173" i="1"/>
  <c r="O173" i="1"/>
  <c r="Y172" i="1"/>
  <c r="O172" i="1"/>
  <c r="Y171" i="1"/>
  <c r="O171" i="1"/>
  <c r="Y170" i="1"/>
  <c r="O170" i="1"/>
  <c r="Y169" i="1"/>
  <c r="O169" i="1"/>
  <c r="Y168" i="1"/>
  <c r="O168" i="1"/>
  <c r="X167" i="1"/>
  <c r="U167" i="1"/>
  <c r="R167" i="1"/>
  <c r="Y167" i="1" s="1"/>
  <c r="N167" i="1"/>
  <c r="O167" i="1" s="1"/>
  <c r="L167" i="1"/>
  <c r="J167" i="1"/>
  <c r="H167" i="1"/>
  <c r="D167" i="1"/>
  <c r="Y166" i="1"/>
  <c r="O166" i="1"/>
  <c r="Y165" i="1"/>
  <c r="O165" i="1"/>
  <c r="Y164" i="1"/>
  <c r="X164" i="1"/>
  <c r="U164" i="1"/>
  <c r="R164" i="1"/>
  <c r="O164" i="1"/>
  <c r="N164" i="1"/>
  <c r="L164" i="1"/>
  <c r="J164" i="1"/>
  <c r="H164" i="1"/>
  <c r="D164" i="1"/>
  <c r="Y163" i="1"/>
  <c r="X163" i="1"/>
  <c r="U163" i="1"/>
  <c r="R163" i="1"/>
  <c r="O163" i="1"/>
  <c r="N163" i="1"/>
  <c r="L163" i="1"/>
  <c r="J163" i="1"/>
  <c r="H163" i="1"/>
  <c r="D163" i="1"/>
  <c r="Y162" i="1"/>
  <c r="O162" i="1"/>
  <c r="Y161" i="1"/>
  <c r="O161" i="1"/>
  <c r="Y160" i="1"/>
  <c r="O160" i="1"/>
  <c r="Y159" i="1"/>
  <c r="O159" i="1"/>
  <c r="Y158" i="1"/>
  <c r="O158" i="1"/>
  <c r="Y157" i="1"/>
  <c r="O157" i="1"/>
  <c r="Y156" i="1"/>
  <c r="O156" i="1"/>
  <c r="Y155" i="1"/>
  <c r="O155" i="1"/>
  <c r="Y154" i="1"/>
  <c r="O154" i="1"/>
  <c r="Y153" i="1"/>
  <c r="O153" i="1"/>
  <c r="Y152" i="1"/>
  <c r="O152" i="1"/>
  <c r="Y151" i="1"/>
  <c r="O151" i="1"/>
  <c r="Y150" i="1"/>
  <c r="O150" i="1"/>
  <c r="Y149" i="1"/>
  <c r="Y148" i="1"/>
  <c r="O148" i="1"/>
  <c r="Y147" i="1"/>
  <c r="O147" i="1"/>
  <c r="Y146" i="1"/>
  <c r="O146" i="1"/>
  <c r="Y145" i="1"/>
  <c r="O145" i="1"/>
  <c r="Y144" i="1"/>
  <c r="O144" i="1"/>
  <c r="Y143" i="1"/>
  <c r="O143" i="1"/>
  <c r="Y142" i="1"/>
  <c r="O142" i="1"/>
  <c r="Y141" i="1"/>
  <c r="O141" i="1"/>
  <c r="Y140" i="1"/>
  <c r="O140" i="1"/>
  <c r="Y139" i="1"/>
  <c r="O139" i="1"/>
  <c r="Y138" i="1"/>
  <c r="O138" i="1"/>
  <c r="Y137" i="1"/>
  <c r="O137" i="1"/>
  <c r="Y136" i="1"/>
  <c r="O136" i="1"/>
  <c r="Y135" i="1"/>
  <c r="O135" i="1"/>
  <c r="Y134" i="1"/>
  <c r="O134" i="1"/>
  <c r="Y133" i="1"/>
  <c r="O133" i="1"/>
  <c r="Y132" i="1"/>
  <c r="O132" i="1"/>
  <c r="Y131" i="1"/>
  <c r="O131" i="1"/>
  <c r="Y130" i="1"/>
  <c r="O130" i="1"/>
  <c r="Y129" i="1"/>
  <c r="O129" i="1"/>
  <c r="Y128" i="1"/>
  <c r="O128" i="1"/>
  <c r="Y127" i="1"/>
  <c r="O127" i="1"/>
  <c r="Y126" i="1"/>
  <c r="O126" i="1"/>
  <c r="Y125" i="1"/>
  <c r="O125" i="1"/>
  <c r="Y124" i="1"/>
  <c r="O124" i="1"/>
  <c r="Y123" i="1"/>
  <c r="O123" i="1"/>
  <c r="Y122" i="1"/>
  <c r="O122" i="1"/>
  <c r="Y121" i="1"/>
  <c r="Y120" i="1"/>
  <c r="O120" i="1"/>
  <c r="Y119" i="1"/>
  <c r="O119" i="1"/>
  <c r="Y118" i="1"/>
  <c r="O118" i="1"/>
  <c r="Y117" i="1"/>
  <c r="O117" i="1"/>
  <c r="Y116" i="1"/>
  <c r="O116" i="1"/>
  <c r="Y115" i="1"/>
  <c r="O115" i="1"/>
  <c r="Y114" i="1"/>
  <c r="O114" i="1"/>
  <c r="Y113" i="1"/>
  <c r="O113" i="1"/>
  <c r="Y112" i="1"/>
  <c r="O112" i="1"/>
  <c r="Y111" i="1"/>
  <c r="O111" i="1"/>
  <c r="Y110" i="1"/>
  <c r="O110" i="1"/>
  <c r="Y109" i="1"/>
  <c r="O109" i="1"/>
  <c r="Y108" i="1"/>
  <c r="O108" i="1"/>
  <c r="Y107" i="1"/>
  <c r="O107" i="1"/>
  <c r="Y106" i="1"/>
  <c r="O106" i="1"/>
  <c r="Y105" i="1"/>
  <c r="O105" i="1"/>
  <c r="Y104" i="1"/>
  <c r="O104" i="1"/>
  <c r="Y103" i="1"/>
  <c r="Y102" i="1"/>
  <c r="O102" i="1"/>
  <c r="Y101" i="1"/>
  <c r="O101" i="1"/>
  <c r="Y100" i="1"/>
  <c r="Y99" i="1"/>
  <c r="Y98" i="1"/>
  <c r="Y97" i="1"/>
  <c r="Y96" i="1"/>
  <c r="Y95" i="1"/>
  <c r="Y94" i="1"/>
  <c r="Y93" i="1"/>
  <c r="Y92" i="1"/>
  <c r="O92" i="1"/>
  <c r="Y91" i="1"/>
  <c r="O91" i="1"/>
  <c r="Y90" i="1"/>
  <c r="O90" i="1"/>
  <c r="Y89" i="1"/>
  <c r="O89" i="1"/>
  <c r="Y88" i="1"/>
  <c r="O88" i="1"/>
  <c r="Y87" i="1"/>
  <c r="O87" i="1"/>
  <c r="Y86" i="1"/>
  <c r="O86" i="1"/>
  <c r="Y85" i="1"/>
  <c r="Y84" i="1"/>
  <c r="O84" i="1"/>
  <c r="Y83" i="1"/>
  <c r="O83" i="1"/>
  <c r="Y82" i="1"/>
  <c r="O82" i="1"/>
  <c r="Y81" i="1"/>
  <c r="Y80" i="1"/>
  <c r="O80" i="1"/>
  <c r="Y79" i="1"/>
  <c r="O79" i="1"/>
  <c r="Y78" i="1"/>
  <c r="O78" i="1"/>
  <c r="Y77" i="1"/>
  <c r="O77" i="1"/>
  <c r="Y76" i="1"/>
  <c r="O76" i="1"/>
  <c r="Y75" i="1"/>
  <c r="O75" i="1"/>
  <c r="Y74" i="1"/>
  <c r="O74" i="1"/>
  <c r="Y73" i="1"/>
  <c r="O73" i="1"/>
  <c r="Y72" i="1"/>
  <c r="O72" i="1"/>
  <c r="Y71" i="1"/>
  <c r="O71" i="1"/>
  <c r="Y70" i="1"/>
  <c r="O70" i="1"/>
  <c r="Y69" i="1"/>
  <c r="O69" i="1"/>
  <c r="Y68" i="1"/>
  <c r="O68" i="1"/>
  <c r="Y67" i="1"/>
  <c r="O67" i="1"/>
  <c r="Y66" i="1"/>
  <c r="O66" i="1"/>
  <c r="Y65" i="1"/>
  <c r="O65" i="1"/>
  <c r="Y64" i="1"/>
  <c r="O64" i="1"/>
  <c r="Y63" i="1"/>
  <c r="O63" i="1"/>
  <c r="Y62" i="1"/>
  <c r="O62" i="1"/>
  <c r="Y61" i="1"/>
  <c r="O61" i="1"/>
  <c r="Y60" i="1"/>
  <c r="O60" i="1"/>
  <c r="Y59" i="1"/>
  <c r="O59" i="1"/>
  <c r="Y58" i="1"/>
  <c r="O58" i="1"/>
  <c r="Y57" i="1"/>
  <c r="O57" i="1"/>
  <c r="Y56" i="1"/>
  <c r="O56" i="1"/>
  <c r="Y55" i="1"/>
  <c r="O55" i="1"/>
  <c r="Y54" i="1"/>
  <c r="Y53" i="1"/>
  <c r="O53" i="1"/>
  <c r="Y52" i="1"/>
  <c r="O52" i="1"/>
  <c r="Y51" i="1"/>
  <c r="O51" i="1"/>
  <c r="Y50" i="1"/>
  <c r="O50" i="1"/>
  <c r="Y49" i="1"/>
  <c r="O49" i="1"/>
  <c r="Y48" i="1"/>
  <c r="O48" i="1"/>
  <c r="Y47" i="1"/>
  <c r="O47" i="1"/>
  <c r="Y46" i="1"/>
  <c r="O46" i="1"/>
  <c r="Y45" i="1"/>
  <c r="O45" i="1"/>
  <c r="Y44" i="1"/>
  <c r="O44" i="1"/>
  <c r="Y43" i="1"/>
  <c r="O43" i="1"/>
  <c r="Y42" i="1"/>
  <c r="O42" i="1"/>
  <c r="Y41" i="1"/>
  <c r="O41" i="1"/>
  <c r="Y40" i="1"/>
  <c r="O40" i="1"/>
  <c r="Y39" i="1"/>
  <c r="O39" i="1"/>
  <c r="Y38" i="1"/>
  <c r="O38" i="1"/>
  <c r="Y37" i="1"/>
  <c r="O37" i="1"/>
  <c r="Y36" i="1"/>
  <c r="O36" i="1"/>
  <c r="Y35" i="1"/>
  <c r="O35" i="1"/>
  <c r="Y34" i="1"/>
  <c r="O34" i="1"/>
  <c r="Y33" i="1"/>
  <c r="O33" i="1"/>
  <c r="Y32" i="1"/>
  <c r="O32" i="1"/>
  <c r="Y31" i="1"/>
  <c r="O31" i="1"/>
  <c r="Y30" i="1"/>
  <c r="Y29" i="1"/>
  <c r="O29" i="1"/>
  <c r="Y28" i="1"/>
  <c r="O28" i="1"/>
  <c r="Y27" i="1"/>
  <c r="O27" i="1"/>
  <c r="Y26" i="1"/>
  <c r="O26" i="1"/>
  <c r="Y25" i="1"/>
  <c r="O25" i="1"/>
  <c r="Y24" i="1"/>
  <c r="O24" i="1"/>
  <c r="Y23" i="1"/>
  <c r="O23" i="1"/>
  <c r="Y22" i="1"/>
  <c r="O22" i="1"/>
  <c r="Y21" i="1"/>
  <c r="O21" i="1"/>
  <c r="Y20" i="1"/>
  <c r="Y19" i="1"/>
  <c r="O19" i="1"/>
  <c r="Y18" i="1"/>
  <c r="O18" i="1"/>
  <c r="Y17" i="1"/>
  <c r="O17" i="1"/>
  <c r="Y16" i="1"/>
  <c r="O16" i="1"/>
  <c r="Y15" i="1"/>
  <c r="O15" i="1"/>
  <c r="Y14" i="1"/>
  <c r="O14" i="1"/>
  <c r="Y13" i="1"/>
  <c r="O13" i="1"/>
  <c r="Y12" i="1"/>
  <c r="O12" i="1"/>
</calcChain>
</file>

<file path=xl/sharedStrings.xml><?xml version="1.0" encoding="utf-8"?>
<sst xmlns="http://schemas.openxmlformats.org/spreadsheetml/2006/main" count="328" uniqueCount="293">
  <si>
    <t xml:space="preserve">     REL 06GQ10</t>
  </si>
  <si>
    <t>AVALIAÇÃO DOS CERTIFICADOS DE CALIBRAÇÃO 
DE DATA LOGGERS - TESTO 174H</t>
  </si>
  <si>
    <t>INSTRUMENTO</t>
  </si>
  <si>
    <t>Marca</t>
  </si>
  <si>
    <t>ESPECIFICAÇÕES / CRITÉRIOS DE ACEITAÇÃO</t>
  </si>
  <si>
    <t>TEMPERATURA</t>
  </si>
  <si>
    <t>Legenda:</t>
  </si>
  <si>
    <t>TESTO</t>
  </si>
  <si>
    <t>RESOLUÇÃO</t>
  </si>
  <si>
    <t xml:space="preserve">UNIDADE </t>
  </si>
  <si>
    <t>°C</t>
  </si>
  <si>
    <t>DMA</t>
  </si>
  <si>
    <r>
      <rPr>
        <b/>
        <sz val="11"/>
        <color rgb="FF000000"/>
        <rFont val="Calibri"/>
        <family val="2"/>
      </rPr>
      <t xml:space="preserve">DMA: </t>
    </r>
    <r>
      <rPr>
        <sz val="11"/>
        <color rgb="FF000000"/>
        <rFont val="Calibri"/>
        <family val="2"/>
      </rPr>
      <t>Desvio Máximo Aceitável</t>
    </r>
  </si>
  <si>
    <t>Modelo</t>
  </si>
  <si>
    <t>UMIDADE</t>
  </si>
  <si>
    <r>
      <rPr>
        <b/>
        <sz val="11"/>
        <color rgb="FF000000"/>
        <rFont val="Calibri"/>
        <family val="2"/>
      </rPr>
      <t>Inc.:</t>
    </r>
    <r>
      <rPr>
        <sz val="11"/>
        <color rgb="FF000000"/>
        <rFont val="Calibri"/>
        <family val="2"/>
      </rPr>
      <t xml:space="preserve"> Incerteza de Medição</t>
    </r>
  </si>
  <si>
    <t>174H</t>
  </si>
  <si>
    <t>%</t>
  </si>
  <si>
    <t>Temperatura</t>
  </si>
  <si>
    <t>Umidade</t>
  </si>
  <si>
    <t>Ponto de calibração:</t>
  </si>
  <si>
    <t>-20,0°C</t>
  </si>
  <si>
    <t>0,0°C</t>
  </si>
  <si>
    <t>15,0°C</t>
  </si>
  <si>
    <t>60,0°C</t>
  </si>
  <si>
    <t>10,0 %U.R.</t>
  </si>
  <si>
    <t>50,0 %U.R.</t>
  </si>
  <si>
    <t>90,0 %U.R.</t>
  </si>
  <si>
    <t>N° Série</t>
  </si>
  <si>
    <t>TAG</t>
  </si>
  <si>
    <t>Calibrado em</t>
  </si>
  <si>
    <t>Validade</t>
  </si>
  <si>
    <t>Certificado</t>
  </si>
  <si>
    <t>Inc.</t>
  </si>
  <si>
    <t>Erro</t>
  </si>
  <si>
    <t>Resultado</t>
  </si>
  <si>
    <t xml:space="preserve">Erro </t>
  </si>
  <si>
    <t>RESULTADO</t>
  </si>
  <si>
    <t>DLH-0002</t>
  </si>
  <si>
    <t>DLH-0003</t>
  </si>
  <si>
    <t>DLH-0004</t>
  </si>
  <si>
    <t>DLH-0006</t>
  </si>
  <si>
    <t>DLH-0007</t>
  </si>
  <si>
    <t>DLH-0008</t>
  </si>
  <si>
    <t>DLH-0011</t>
  </si>
  <si>
    <t>DLH-0012</t>
  </si>
  <si>
    <t>DLH-0014</t>
  </si>
  <si>
    <t>APROVADO</t>
  </si>
  <si>
    <t>DLH-0015</t>
  </si>
  <si>
    <t>DLH-0017</t>
  </si>
  <si>
    <t>DLH-0018</t>
  </si>
  <si>
    <t>DLH-0021</t>
  </si>
  <si>
    <t>DLH-0022</t>
  </si>
  <si>
    <t>DLH-0024</t>
  </si>
  <si>
    <t>DLH-0026</t>
  </si>
  <si>
    <t>DLH-0027</t>
  </si>
  <si>
    <t>DLH-0030</t>
  </si>
  <si>
    <t>37332436</t>
  </si>
  <si>
    <t>DLH-0032</t>
  </si>
  <si>
    <t>DLH-0035</t>
  </si>
  <si>
    <t>DLH-0037</t>
  </si>
  <si>
    <t>DLH-0039</t>
  </si>
  <si>
    <t>DLH-0040</t>
  </si>
  <si>
    <t>DLH-0041</t>
  </si>
  <si>
    <t>DLH-0044</t>
  </si>
  <si>
    <t>DLH-0045</t>
  </si>
  <si>
    <t>DLH-0047</t>
  </si>
  <si>
    <t>DLH-0048</t>
  </si>
  <si>
    <t>DLH-0049</t>
  </si>
  <si>
    <t>DLH-0050</t>
  </si>
  <si>
    <t>DLH-0051</t>
  </si>
  <si>
    <t>DLH-0052</t>
  </si>
  <si>
    <t>DLH-0053</t>
  </si>
  <si>
    <t>DLH-0054</t>
  </si>
  <si>
    <t>DLH-0055</t>
  </si>
  <si>
    <t>DLH-0056</t>
  </si>
  <si>
    <t>DLH-0057</t>
  </si>
  <si>
    <t>DLH-0059</t>
  </si>
  <si>
    <t>DLH-0060</t>
  </si>
  <si>
    <t>DLH-0062</t>
  </si>
  <si>
    <t>DLH-0065</t>
  </si>
  <si>
    <t>DLH-0066</t>
  </si>
  <si>
    <t>DLH-0067</t>
  </si>
  <si>
    <t>DLH-0068</t>
  </si>
  <si>
    <t>DLH-0073</t>
  </si>
  <si>
    <t>DLH-0074</t>
  </si>
  <si>
    <t>DLH-0075</t>
  </si>
  <si>
    <t>DLH-0077</t>
  </si>
  <si>
    <t>DLH-0079</t>
  </si>
  <si>
    <t>DLH-0080</t>
  </si>
  <si>
    <t>DLH-0082</t>
  </si>
  <si>
    <t>DLH-0083</t>
  </si>
  <si>
    <t>DLH-0084</t>
  </si>
  <si>
    <t>DLH-0085</t>
  </si>
  <si>
    <t>DLH-0087</t>
  </si>
  <si>
    <t>DLH-0088</t>
  </si>
  <si>
    <t>DLH-0089</t>
  </si>
  <si>
    <t>DLH-0090</t>
  </si>
  <si>
    <t>DLH-0091</t>
  </si>
  <si>
    <t>DLH-0093</t>
  </si>
  <si>
    <t>DLH-0094</t>
  </si>
  <si>
    <t>DLH-0095</t>
  </si>
  <si>
    <t>DLH-0097</t>
  </si>
  <si>
    <t>DLH-0098</t>
  </si>
  <si>
    <t>DLH-0100</t>
  </si>
  <si>
    <t>DLH-0105</t>
  </si>
  <si>
    <t>DLH-0109</t>
  </si>
  <si>
    <t>DLH-0110</t>
  </si>
  <si>
    <t>DLH-0111</t>
  </si>
  <si>
    <t>DLH-0112</t>
  </si>
  <si>
    <t>DLH-0113</t>
  </si>
  <si>
    <t>DLH-0114</t>
  </si>
  <si>
    <t>DLH-0119</t>
  </si>
  <si>
    <t>DLH-0120</t>
  </si>
  <si>
    <t>DLH-0121</t>
  </si>
  <si>
    <t>DLH-0122</t>
  </si>
  <si>
    <t>DLH-0123</t>
  </si>
  <si>
    <t>DLH-0124</t>
  </si>
  <si>
    <t>DLH-0126</t>
  </si>
  <si>
    <t>DLH-0127</t>
  </si>
  <si>
    <t>DLH-0129</t>
  </si>
  <si>
    <t>DLH-0131</t>
  </si>
  <si>
    <t>DLH-0132</t>
  </si>
  <si>
    <t>DLH-0133</t>
  </si>
  <si>
    <t>DLH-0135</t>
  </si>
  <si>
    <t>DLH-0136</t>
  </si>
  <si>
    <t>DLH-0140</t>
  </si>
  <si>
    <t>DLH-0141</t>
  </si>
  <si>
    <t>DLH-0145</t>
  </si>
  <si>
    <t>DLH-0153</t>
  </si>
  <si>
    <t>DLH-0154</t>
  </si>
  <si>
    <t>DLH-0156</t>
  </si>
  <si>
    <t>DLH-0157</t>
  </si>
  <si>
    <t>DLH-0158</t>
  </si>
  <si>
    <t>DLH-0159</t>
  </si>
  <si>
    <t>DLH-0160</t>
  </si>
  <si>
    <t>DLH-0161</t>
  </si>
  <si>
    <t>DLH-0162</t>
  </si>
  <si>
    <t>DLH-0164</t>
  </si>
  <si>
    <t>DLH-0165</t>
  </si>
  <si>
    <t>DLH-0166</t>
  </si>
  <si>
    <t>DLH-0167</t>
  </si>
  <si>
    <t>DLH-0169</t>
  </si>
  <si>
    <t>DLH-0174</t>
  </si>
  <si>
    <t>DLH-0176</t>
  </si>
  <si>
    <t>DLH-0178</t>
  </si>
  <si>
    <t>DLH-0179</t>
  </si>
  <si>
    <t>DLH-0180</t>
  </si>
  <si>
    <t>DLH-0182</t>
  </si>
  <si>
    <t>DLH-0185</t>
  </si>
  <si>
    <t>DLH-0188</t>
  </si>
  <si>
    <t>DLH-0190</t>
  </si>
  <si>
    <t>DLH-0191</t>
  </si>
  <si>
    <t>DLH-0192</t>
  </si>
  <si>
    <t>DLH-0194</t>
  </si>
  <si>
    <t>DLH-0197</t>
  </si>
  <si>
    <t>DLH-0199</t>
  </si>
  <si>
    <t>DLH-0201</t>
  </si>
  <si>
    <t>DLH-0202</t>
  </si>
  <si>
    <t>DLH-0203</t>
  </si>
  <si>
    <t>DLH-0207</t>
  </si>
  <si>
    <t>DLH-0208</t>
  </si>
  <si>
    <t>DLH-0209</t>
  </si>
  <si>
    <t>DLH-0212</t>
  </si>
  <si>
    <t>DLH-0214</t>
  </si>
  <si>
    <t>DLH-0215</t>
  </si>
  <si>
    <t>DLH-0219</t>
  </si>
  <si>
    <t>DLH-0223</t>
  </si>
  <si>
    <t>DLH-0224</t>
  </si>
  <si>
    <t>DLH-0225</t>
  </si>
  <si>
    <t>DLH-0229</t>
  </si>
  <si>
    <t>DLH-0231</t>
  </si>
  <si>
    <t>DLH-0233</t>
  </si>
  <si>
    <t>DLH-0234</t>
  </si>
  <si>
    <t>DLH-0235</t>
  </si>
  <si>
    <t>DLH-0236</t>
  </si>
  <si>
    <t>DLH-0237</t>
  </si>
  <si>
    <t>DLH-0242</t>
  </si>
  <si>
    <t>DLH-0245</t>
  </si>
  <si>
    <t>DLH-0251</t>
  </si>
  <si>
    <t>DLH-0001</t>
  </si>
  <si>
    <t>DLH-0005</t>
  </si>
  <si>
    <t>DLH-0009</t>
  </si>
  <si>
    <t>DLH-0010</t>
  </si>
  <si>
    <t>DLH-0013</t>
  </si>
  <si>
    <t>DLH-0016</t>
  </si>
  <si>
    <t>DLH-0019</t>
  </si>
  <si>
    <t>DLH-0020</t>
  </si>
  <si>
    <t>DLH-0023</t>
  </si>
  <si>
    <t>DLH-0025</t>
  </si>
  <si>
    <t>DLH-0028</t>
  </si>
  <si>
    <t>DLH-0029</t>
  </si>
  <si>
    <t>DLH-0031</t>
  </si>
  <si>
    <t>DLH-0033</t>
  </si>
  <si>
    <t>DLH-0034</t>
  </si>
  <si>
    <t>DLH-0036</t>
  </si>
  <si>
    <t>DLH-0038</t>
  </si>
  <si>
    <t>DLH-0042</t>
  </si>
  <si>
    <t>DLH-0043</t>
  </si>
  <si>
    <t>DLH-0046</t>
  </si>
  <si>
    <t>DLH-0058</t>
  </si>
  <si>
    <t>DLH-0061</t>
  </si>
  <si>
    <t>DLH-0063</t>
  </si>
  <si>
    <t>DLH-0064</t>
  </si>
  <si>
    <t>DLH-0069</t>
  </si>
  <si>
    <t>DLH-0070</t>
  </si>
  <si>
    <t>DLH-0071</t>
  </si>
  <si>
    <t>DLH-0072</t>
  </si>
  <si>
    <t>DLH-0076</t>
  </si>
  <si>
    <t>DLH-0078</t>
  </si>
  <si>
    <t>DLH-0081</t>
  </si>
  <si>
    <t>DLH-0086</t>
  </si>
  <si>
    <t>DLH-0092</t>
  </si>
  <si>
    <t>DLH-0096</t>
  </si>
  <si>
    <t>DLH-0099</t>
  </si>
  <si>
    <t>DLH-0101</t>
  </si>
  <si>
    <t>DLH-0102</t>
  </si>
  <si>
    <t>DLH-0103</t>
  </si>
  <si>
    <t>DLH-0104</t>
  </si>
  <si>
    <t>DLH-0106</t>
  </si>
  <si>
    <t>DLH-0107</t>
  </si>
  <si>
    <t>DLH-0108</t>
  </si>
  <si>
    <t>DLH-0115</t>
  </si>
  <si>
    <t>DLH-0116</t>
  </si>
  <si>
    <t>DLH-0117</t>
  </si>
  <si>
    <t>DLH-0118</t>
  </si>
  <si>
    <t>DLH-0125</t>
  </si>
  <si>
    <t>DLH-0128</t>
  </si>
  <si>
    <t>DLH-0130</t>
  </si>
  <si>
    <t>DLH-0134</t>
  </si>
  <si>
    <t>DLH-0137</t>
  </si>
  <si>
    <t>DLH-0138</t>
  </si>
  <si>
    <t>DLH-0139</t>
  </si>
  <si>
    <t>DLH-0142</t>
  </si>
  <si>
    <t>DLH-0143</t>
  </si>
  <si>
    <t>DLH-0144</t>
  </si>
  <si>
    <t>DLH-0146</t>
  </si>
  <si>
    <t>DLH-0147</t>
  </si>
  <si>
    <t>DLH-0148</t>
  </si>
  <si>
    <t>DLH-0149</t>
  </si>
  <si>
    <t>DLH-0150</t>
  </si>
  <si>
    <t>DLH-0151</t>
  </si>
  <si>
    <t>DLH-0152</t>
  </si>
  <si>
    <t>DLH-0155</t>
  </si>
  <si>
    <t>DLH-0163</t>
  </si>
  <si>
    <t>DLH-0168</t>
  </si>
  <si>
    <t>DLH-0170</t>
  </si>
  <si>
    <t>DLH-0171</t>
  </si>
  <si>
    <t>DLH-0172</t>
  </si>
  <si>
    <t>DLH-0173</t>
  </si>
  <si>
    <t>DLH-0175</t>
  </si>
  <si>
    <t>DLH-0177</t>
  </si>
  <si>
    <t>DLH-0181</t>
  </si>
  <si>
    <t>DLH-0183</t>
  </si>
  <si>
    <t>DLH-0184</t>
  </si>
  <si>
    <t>DLH-0186</t>
  </si>
  <si>
    <t>DLH-0187</t>
  </si>
  <si>
    <t>DLH-0189</t>
  </si>
  <si>
    <t>DLH-0193</t>
  </si>
  <si>
    <t>DLH-0195</t>
  </si>
  <si>
    <t>DLH-0196</t>
  </si>
  <si>
    <t>DLH-0198</t>
  </si>
  <si>
    <t>DLH-0200</t>
  </si>
  <si>
    <t>DLH-0204</t>
  </si>
  <si>
    <t>DLH-0205</t>
  </si>
  <si>
    <t>DLH-0206</t>
  </si>
  <si>
    <t>DLH-0210</t>
  </si>
  <si>
    <t>DLH-0211</t>
  </si>
  <si>
    <t>DLH-0213</t>
  </si>
  <si>
    <t>DLH-0216</t>
  </si>
  <si>
    <t>DLH-0217</t>
  </si>
  <si>
    <t>DLH-0218</t>
  </si>
  <si>
    <t>DLH-0220</t>
  </si>
  <si>
    <t>DLH-0221</t>
  </si>
  <si>
    <t>DLH-0222</t>
  </si>
  <si>
    <t>DLH-0226</t>
  </si>
  <si>
    <t>DLH-0227</t>
  </si>
  <si>
    <t>DLH-0228</t>
  </si>
  <si>
    <t>DLH-0230</t>
  </si>
  <si>
    <t>DLH-0232</t>
  </si>
  <si>
    <t>DLH-0238</t>
  </si>
  <si>
    <t>DLH-0239</t>
  </si>
  <si>
    <t>DLH-0240</t>
  </si>
  <si>
    <t>DLH-0241</t>
  </si>
  <si>
    <t>DLH-0243</t>
  </si>
  <si>
    <t>DLH-0244</t>
  </si>
  <si>
    <t>DLH-0246</t>
  </si>
  <si>
    <t>DLH-0247</t>
  </si>
  <si>
    <t>DLH-0248</t>
  </si>
  <si>
    <t>DLH-0249</t>
  </si>
  <si>
    <t>DLH-0250</t>
  </si>
  <si>
    <t>DLH-0252</t>
  </si>
  <si>
    <t xml:space="preserve">     Versão: 00   Data: (data do relatório)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</si>
</sst>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mmm\-yy;@"/>
    <numFmt numFmtId="165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2" fontId="8" fillId="5" borderId="9" xfId="0" applyNumberFormat="1" applyFont="1" applyFill="1" applyBorder="1" applyAlignment="1">
      <alignment horizontal="center" vertical="center"/>
    </xf>
    <xf numFmtId="2" fontId="4" fillId="5" borderId="9" xfId="0" applyNumberFormat="1" applyFont="1" applyFill="1" applyBorder="1" applyAlignment="1">
      <alignment horizontal="center" vertical="center"/>
    </xf>
    <xf numFmtId="2" fontId="4" fillId="6" borderId="9" xfId="0" applyNumberFormat="1" applyFont="1" applyFill="1" applyBorder="1" applyAlignment="1">
      <alignment horizontal="center" vertical="center"/>
    </xf>
    <xf numFmtId="2" fontId="6" fillId="6" borderId="9" xfId="0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6" borderId="13" xfId="0" applyNumberForma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2" borderId="13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165" fontId="0" fillId="6" borderId="5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4" fontId="0" fillId="2" borderId="7" xfId="0" applyNumberFormat="1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6" borderId="14" xfId="0" applyNumberForma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2" fontId="0" fillId="2" borderId="14" xfId="0" applyNumberForma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65" fontId="0" fillId="6" borderId="8" xfId="0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0"/>
      </font>
      <fill>
        <patternFill>
          <bgColor rgb="FFFF6161"/>
        </patternFill>
      </fill>
    </dxf>
    <dxf>
      <font>
        <color theme="0"/>
      </font>
      <fill>
        <patternFill>
          <bgColor rgb="FFFF6161"/>
        </patternFill>
      </fill>
    </dxf>
    <dxf>
      <font>
        <color theme="0"/>
      </font>
      <fill>
        <patternFill>
          <bgColor rgb="FFFF616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238125</xdr:colOff>
      <xdr:row>0</xdr:row>
      <xdr:rowOff>28575</xdr:rowOff>
    </xdr:from>
    <xdr:to>
      <xdr:col>25</xdr:col>
      <xdr:colOff>86675</xdr:colOff>
      <xdr:row>3</xdr:row>
      <xdr:rowOff>646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625CBA-0E14-4144-8685-F9849FB46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0" y="28575"/>
          <a:ext cx="1677351" cy="5435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tafria.sharepoint.com/sites/reaTcnica-ControleInterno/Shared%20Documents/Controle%20Interno/-PL%2006GQ06%20Rela&#231;&#227;o%20de%20Data%20loggers%20e%20Controle%20de%20Calibra&#231;&#245;es_Testo%20174H%20(Projeto%20TAG).xls" TargetMode="External"/><Relationship Id="rId1" Type="http://schemas.openxmlformats.org/officeDocument/2006/relationships/externalLinkPath" Target="https://itafria.sharepoint.com/sites/reaTcnica-ControleInterno/Shared%20Documents/Controle%20Interno/-PL%2006GQ06%20Rela&#231;&#227;o%20de%20Data%20loggers%20e%20Controle%20de%20Calibra&#231;&#245;es_Testo%20174H%20(Projeto%20TAG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ação_Calibrações_Localização"/>
      <sheetName val="Histórico de Movimentações"/>
      <sheetName val="Controle_Quantidade"/>
      <sheetName val="APOIO"/>
      <sheetName val="Controle_Quantidade (OBSOLETO)"/>
      <sheetName val="Avaliação_Certificados "/>
    </sheetNames>
    <sheetDataSet>
      <sheetData sheetId="0">
        <row r="8">
          <cell r="B8" t="str">
            <v>DLH-0001</v>
          </cell>
          <cell r="F8" t="str">
            <v>PERDIDO - MATEUS</v>
          </cell>
        </row>
        <row r="9">
          <cell r="B9" t="str">
            <v>DLH-0002</v>
          </cell>
          <cell r="F9" t="str">
            <v>CONFERIDO - MATEUS</v>
          </cell>
        </row>
        <row r="10">
          <cell r="B10" t="str">
            <v>DLH-0003</v>
          </cell>
          <cell r="F10" t="str">
            <v>CONFERIDO - MATEUS</v>
          </cell>
        </row>
        <row r="11">
          <cell r="B11" t="str">
            <v>DLH-0004</v>
          </cell>
          <cell r="F11" t="str">
            <v>CONFERIDO - MATEUS</v>
          </cell>
        </row>
        <row r="12">
          <cell r="B12" t="str">
            <v>DLH-0005</v>
          </cell>
          <cell r="F12" t="str">
            <v>PARA CALIBRAR - MATEUS</v>
          </cell>
        </row>
        <row r="13">
          <cell r="B13" t="str">
            <v>DLH-0006</v>
          </cell>
          <cell r="F13" t="str">
            <v>CONFERIDO - MATEUS</v>
          </cell>
        </row>
        <row r="14">
          <cell r="B14" t="str">
            <v>DLH-0007</v>
          </cell>
          <cell r="F14" t="str">
            <v>NÃO CONFORME - MATEUS</v>
          </cell>
        </row>
        <row r="15">
          <cell r="B15" t="str">
            <v>DLH-0008</v>
          </cell>
          <cell r="F15" t="str">
            <v>CONFERIDO - MATEUS</v>
          </cell>
        </row>
        <row r="16">
          <cell r="B16" t="str">
            <v>DLH-0009</v>
          </cell>
          <cell r="F16" t="str">
            <v>PARA CALIBRAR - MATEUS</v>
          </cell>
        </row>
        <row r="17">
          <cell r="B17" t="str">
            <v>DLH-0010</v>
          </cell>
          <cell r="F17" t="str">
            <v>PARA CALIBRAR - MATEUS</v>
          </cell>
        </row>
        <row r="18">
          <cell r="B18" t="str">
            <v>DLH-0011</v>
          </cell>
          <cell r="F18" t="str">
            <v>CONFERIDO - MATEUS</v>
          </cell>
        </row>
        <row r="19">
          <cell r="B19" t="str">
            <v>DLH-0012</v>
          </cell>
          <cell r="F19" t="str">
            <v>CONFERIDO - MATEUS</v>
          </cell>
        </row>
        <row r="20">
          <cell r="B20" t="str">
            <v>DLH-0013</v>
          </cell>
          <cell r="F20" t="str">
            <v>PARA CALIBRAR - MATEUS</v>
          </cell>
        </row>
        <row r="21">
          <cell r="B21" t="str">
            <v>DLH-0014</v>
          </cell>
          <cell r="F21" t="str">
            <v>CONFERIDO - MATEUS</v>
          </cell>
        </row>
        <row r="22">
          <cell r="B22" t="str">
            <v>DLH-0015</v>
          </cell>
          <cell r="F22" t="str">
            <v>CONFERIDO - MATEUS</v>
          </cell>
        </row>
        <row r="23">
          <cell r="B23" t="str">
            <v>DLH-0016</v>
          </cell>
          <cell r="F23" t="str">
            <v>PARA CALIBRAR - MATEUS</v>
          </cell>
        </row>
        <row r="24">
          <cell r="B24" t="str">
            <v>DLH-0017</v>
          </cell>
          <cell r="F24" t="str">
            <v>CONFERIDO - MATEUS</v>
          </cell>
        </row>
        <row r="25">
          <cell r="B25" t="str">
            <v>DLH-0018</v>
          </cell>
          <cell r="F25" t="str">
            <v>CONFERIDO - MATEUS</v>
          </cell>
        </row>
        <row r="26">
          <cell r="B26" t="str">
            <v>DLH-0019</v>
          </cell>
          <cell r="F26" t="str">
            <v>PERDIDO - MATEUS</v>
          </cell>
        </row>
        <row r="27">
          <cell r="B27" t="str">
            <v>DLH-0020</v>
          </cell>
          <cell r="F27" t="str">
            <v>PARA CALIBRAR - MATEUS</v>
          </cell>
        </row>
        <row r="28">
          <cell r="B28" t="str">
            <v>DLH-0021</v>
          </cell>
          <cell r="F28" t="str">
            <v>CONFERIDO - MATEUS</v>
          </cell>
        </row>
        <row r="29">
          <cell r="B29" t="str">
            <v>DLH-0022</v>
          </cell>
          <cell r="F29" t="str">
            <v>CONFERIDO - MATEUS</v>
          </cell>
        </row>
        <row r="30">
          <cell r="B30" t="str">
            <v>DLH-0023</v>
          </cell>
          <cell r="F30" t="str">
            <v>PARA CALIBRAR - MATEUS</v>
          </cell>
        </row>
        <row r="31">
          <cell r="B31" t="str">
            <v>DLH-0024</v>
          </cell>
          <cell r="F31" t="str">
            <v>CONFERIDO - MATEUS</v>
          </cell>
        </row>
        <row r="32">
          <cell r="B32" t="str">
            <v>DLH-0025</v>
          </cell>
          <cell r="F32" t="str">
            <v>PARA CALIBRAR - MATEUS</v>
          </cell>
        </row>
        <row r="33">
          <cell r="B33" t="str">
            <v>DLH-0026</v>
          </cell>
          <cell r="F33" t="str">
            <v>CONFERIDO - MATEUS</v>
          </cell>
        </row>
        <row r="34">
          <cell r="B34" t="str">
            <v>DLH-0027</v>
          </cell>
          <cell r="F34" t="str">
            <v>CONFERIDO - MATEUS</v>
          </cell>
        </row>
        <row r="35">
          <cell r="B35" t="str">
            <v>DLH-0028</v>
          </cell>
          <cell r="F35" t="str">
            <v>CONFERIDO - MATEUS</v>
          </cell>
        </row>
        <row r="36">
          <cell r="B36" t="str">
            <v>DLH-0029</v>
          </cell>
          <cell r="F36" t="str">
            <v>NÃO CONFORME - MATEUS</v>
          </cell>
        </row>
        <row r="37">
          <cell r="B37" t="str">
            <v>DLH-0030</v>
          </cell>
          <cell r="F37" t="str">
            <v>CONFERIDO - MATEUS</v>
          </cell>
        </row>
        <row r="38">
          <cell r="B38" t="str">
            <v>DLH-0031</v>
          </cell>
          <cell r="F38" t="str">
            <v>PERDIDO - MATEUS</v>
          </cell>
        </row>
        <row r="39">
          <cell r="B39" t="str">
            <v>DLH-0032</v>
          </cell>
          <cell r="F39" t="str">
            <v>CONFERIDO - MATEUS</v>
          </cell>
        </row>
        <row r="40">
          <cell r="B40" t="str">
            <v>DLH-0033</v>
          </cell>
          <cell r="F40" t="str">
            <v>PARA CALIBRAR - MATEUS</v>
          </cell>
        </row>
        <row r="41">
          <cell r="B41" t="str">
            <v>DLH-0034</v>
          </cell>
          <cell r="F41" t="str">
            <v>PARA CALIBRAR - MATEUS</v>
          </cell>
        </row>
        <row r="42">
          <cell r="B42" t="str">
            <v>DLH-0035</v>
          </cell>
          <cell r="F42" t="str">
            <v>CONFERIDO - MATEUS</v>
          </cell>
        </row>
        <row r="43">
          <cell r="B43" t="str">
            <v>DLH-0036</v>
          </cell>
          <cell r="F43" t="str">
            <v>PERDIDO - MATEUS</v>
          </cell>
        </row>
        <row r="44">
          <cell r="B44" t="str">
            <v>DLH-0037</v>
          </cell>
          <cell r="F44" t="str">
            <v>CONFERIDO - MATEUS</v>
          </cell>
        </row>
        <row r="45">
          <cell r="B45" t="str">
            <v>DLH-0038</v>
          </cell>
          <cell r="F45" t="str">
            <v>PARA CALIBRAR - MATEUS</v>
          </cell>
        </row>
        <row r="46">
          <cell r="B46" t="str">
            <v>DLH-0039</v>
          </cell>
          <cell r="F46" t="str">
            <v>CONFERIDO - MATEUS</v>
          </cell>
        </row>
        <row r="47">
          <cell r="B47" t="str">
            <v>DLH-0040</v>
          </cell>
          <cell r="F47" t="str">
            <v>CONFERIDO - MATEUS</v>
          </cell>
        </row>
        <row r="48">
          <cell r="B48" t="str">
            <v>DLH-0041</v>
          </cell>
          <cell r="F48" t="str">
            <v>CONFERIDO - MATEUS</v>
          </cell>
        </row>
        <row r="49">
          <cell r="B49" t="str">
            <v>DLH-0042</v>
          </cell>
          <cell r="F49" t="str">
            <v>PARA CALIBRAR - MATEUS</v>
          </cell>
        </row>
        <row r="50">
          <cell r="B50" t="str">
            <v>DLH-0043</v>
          </cell>
          <cell r="F50" t="str">
            <v>PARA CALIBRAR - MATEUS</v>
          </cell>
        </row>
        <row r="51">
          <cell r="B51" t="str">
            <v>DLH-0044</v>
          </cell>
          <cell r="F51" t="str">
            <v>CONFERIDO - MATEUS</v>
          </cell>
        </row>
        <row r="52">
          <cell r="B52" t="str">
            <v>DLH-0045</v>
          </cell>
          <cell r="F52" t="str">
            <v>CONFERIDO - MATEUS</v>
          </cell>
        </row>
        <row r="53">
          <cell r="B53" t="str">
            <v>DLH-0046</v>
          </cell>
          <cell r="F53" t="str">
            <v>PARA CALIBRAR - MATEUS</v>
          </cell>
        </row>
        <row r="54">
          <cell r="B54" t="str">
            <v>DLH-0047</v>
          </cell>
          <cell r="F54" t="str">
            <v>CONFERIDO - MATEUS</v>
          </cell>
        </row>
        <row r="55">
          <cell r="B55" t="str">
            <v>DLH-0048</v>
          </cell>
          <cell r="F55" t="str">
            <v>CONFERIDO - MATEUS</v>
          </cell>
        </row>
        <row r="56">
          <cell r="B56" t="str">
            <v>DLH-0049</v>
          </cell>
          <cell r="F56" t="str">
            <v>CONFERIDO - MATEUS</v>
          </cell>
        </row>
        <row r="57">
          <cell r="B57" t="str">
            <v>DLH-0050</v>
          </cell>
          <cell r="F57" t="str">
            <v>CONFERIDO - MATEUS</v>
          </cell>
        </row>
        <row r="58">
          <cell r="B58" t="str">
            <v>DLH-0051</v>
          </cell>
          <cell r="F58" t="str">
            <v>CONFERIDO - MATEUS</v>
          </cell>
        </row>
        <row r="59">
          <cell r="B59" t="str">
            <v>DLH-0052</v>
          </cell>
          <cell r="F59" t="str">
            <v>CONFERIDO - MATEUS</v>
          </cell>
        </row>
        <row r="60">
          <cell r="B60" t="str">
            <v>DLH-0053</v>
          </cell>
          <cell r="F60" t="str">
            <v>CONFERIDO - MATEUS</v>
          </cell>
        </row>
        <row r="61">
          <cell r="B61" t="str">
            <v>DLH-0054</v>
          </cell>
          <cell r="F61" t="str">
            <v>CONFERIDO - MATEUS</v>
          </cell>
        </row>
        <row r="62">
          <cell r="B62" t="str">
            <v>DLH-0055</v>
          </cell>
          <cell r="F62" t="str">
            <v>CONFERIDO - MATEUS</v>
          </cell>
        </row>
        <row r="63">
          <cell r="B63" t="str">
            <v>DLH-0056</v>
          </cell>
          <cell r="F63" t="str">
            <v>CONFERIDO - MATEUS</v>
          </cell>
        </row>
        <row r="64">
          <cell r="B64" t="str">
            <v>DLH-0057</v>
          </cell>
          <cell r="F64" t="str">
            <v>CONFERIDO - MATEUS</v>
          </cell>
        </row>
        <row r="65">
          <cell r="B65" t="str">
            <v>DLH-0058</v>
          </cell>
          <cell r="F65" t="str">
            <v>PARA CALIBRAR - MATEUS</v>
          </cell>
        </row>
        <row r="66">
          <cell r="B66" t="str">
            <v>DLH-0059</v>
          </cell>
          <cell r="F66" t="str">
            <v>CONFERIDO - MATEUS</v>
          </cell>
        </row>
        <row r="67">
          <cell r="B67" t="str">
            <v>DLH-0060</v>
          </cell>
          <cell r="F67" t="str">
            <v>CONFERIDO - MATEUS</v>
          </cell>
        </row>
        <row r="68">
          <cell r="B68" t="str">
            <v>DLH-0061</v>
          </cell>
          <cell r="F68" t="str">
            <v>PARA CALIBRAR - MATEUS</v>
          </cell>
        </row>
        <row r="69">
          <cell r="B69" t="str">
            <v>DLH-0062</v>
          </cell>
          <cell r="F69" t="str">
            <v>CONFERIDO - MATEUS</v>
          </cell>
        </row>
        <row r="70">
          <cell r="B70" t="str">
            <v>DLH-0063</v>
          </cell>
          <cell r="F70" t="str">
            <v>PARA CALIBRAR - MATEUS</v>
          </cell>
        </row>
        <row r="71">
          <cell r="B71" t="str">
            <v>DLH-0064</v>
          </cell>
          <cell r="F71" t="str">
            <v>PARA CALIBRAR - MATEUS</v>
          </cell>
        </row>
        <row r="72">
          <cell r="B72" t="str">
            <v>DLH-0065</v>
          </cell>
          <cell r="F72" t="str">
            <v>CONFERIDO - MATEUS</v>
          </cell>
        </row>
        <row r="73">
          <cell r="B73" t="str">
            <v>DLH-0066</v>
          </cell>
          <cell r="F73" t="str">
            <v>CONFERIDO - MATEUS</v>
          </cell>
        </row>
        <row r="74">
          <cell r="B74" t="str">
            <v>DLH-0067</v>
          </cell>
          <cell r="F74" t="str">
            <v>CONFERIDO - MATEUS</v>
          </cell>
        </row>
        <row r="75">
          <cell r="B75" t="str">
            <v>DLH-0068</v>
          </cell>
          <cell r="F75" t="str">
            <v>CONFERIDO - MATEUS</v>
          </cell>
        </row>
        <row r="76">
          <cell r="B76" t="str">
            <v>DLH-0069</v>
          </cell>
          <cell r="F76" t="str">
            <v>QUEBRADO - MATEUS</v>
          </cell>
        </row>
        <row r="77">
          <cell r="B77" t="str">
            <v>DLH-0070</v>
          </cell>
          <cell r="F77" t="str">
            <v>PARA CALIBRAR - MATEUS</v>
          </cell>
        </row>
        <row r="78">
          <cell r="B78" t="str">
            <v>DLH-0071</v>
          </cell>
          <cell r="F78" t="str">
            <v>PARA CALIBRAR - MATEUS</v>
          </cell>
        </row>
        <row r="79">
          <cell r="B79" t="str">
            <v>DLH-0072</v>
          </cell>
          <cell r="F79" t="str">
            <v>CONFERIDO - MATEUS</v>
          </cell>
        </row>
        <row r="80">
          <cell r="B80" t="str">
            <v>DLH-0073</v>
          </cell>
          <cell r="F80" t="str">
            <v>CONFERIDO - MATEUS</v>
          </cell>
        </row>
        <row r="81">
          <cell r="B81" t="str">
            <v>DLH-0074</v>
          </cell>
          <cell r="F81" t="str">
            <v>CONFERIDO - MATEUS</v>
          </cell>
        </row>
        <row r="82">
          <cell r="B82" t="str">
            <v>DLH-0075</v>
          </cell>
          <cell r="F82" t="str">
            <v>NÃO CONFORME - MATEUS</v>
          </cell>
        </row>
        <row r="83">
          <cell r="B83" t="str">
            <v>DLH-0076</v>
          </cell>
          <cell r="F83" t="str">
            <v>PARA CALIBRAR - MATEUS</v>
          </cell>
        </row>
        <row r="84">
          <cell r="B84" t="str">
            <v>DLH-0077</v>
          </cell>
          <cell r="F84" t="str">
            <v>CONFERIDO - MATEUS</v>
          </cell>
        </row>
        <row r="85">
          <cell r="B85" t="str">
            <v>DLH-0078</v>
          </cell>
          <cell r="F85" t="str">
            <v>CONFERIDO - MATEUS</v>
          </cell>
        </row>
        <row r="86">
          <cell r="B86" t="str">
            <v>DLH-0079</v>
          </cell>
          <cell r="F86" t="str">
            <v>CONFERIDO - MATEUS</v>
          </cell>
        </row>
        <row r="87">
          <cell r="B87" t="str">
            <v>DLH-0080</v>
          </cell>
          <cell r="F87" t="str">
            <v>CONFERIDO - MATEUS</v>
          </cell>
        </row>
        <row r="88">
          <cell r="B88" t="str">
            <v>DLH-0081</v>
          </cell>
          <cell r="F88" t="str">
            <v>PARA CALIBRAR - MATEUS</v>
          </cell>
        </row>
        <row r="89">
          <cell r="B89" t="str">
            <v>DLH-0082</v>
          </cell>
          <cell r="F89" t="str">
            <v>CONFERIDO - MATEUS</v>
          </cell>
        </row>
        <row r="90">
          <cell r="B90" t="str">
            <v>DLH-0083</v>
          </cell>
          <cell r="F90" t="str">
            <v>CONFERIDO - MATEUS</v>
          </cell>
        </row>
        <row r="91">
          <cell r="B91" t="str">
            <v>DLH-0084</v>
          </cell>
          <cell r="F91" t="str">
            <v>CONFERIDO - MATEUS</v>
          </cell>
        </row>
        <row r="92">
          <cell r="B92" t="str">
            <v>DLH-0085</v>
          </cell>
          <cell r="F92" t="str">
            <v>CONFERIDO - MATEUS</v>
          </cell>
        </row>
        <row r="93">
          <cell r="B93" t="str">
            <v>DLH-0086</v>
          </cell>
          <cell r="F93" t="str">
            <v>PARA CALIBRAR - MATEUS</v>
          </cell>
        </row>
        <row r="94">
          <cell r="B94" t="str">
            <v>DLH-0087</v>
          </cell>
          <cell r="F94" t="str">
            <v>CONFERIDO - MATEUS</v>
          </cell>
        </row>
        <row r="95">
          <cell r="B95" t="str">
            <v>DLH-0088</v>
          </cell>
          <cell r="F95" t="str">
            <v>CONFERIDO - MATEUS</v>
          </cell>
        </row>
        <row r="96">
          <cell r="B96" t="str">
            <v>DLH-0089</v>
          </cell>
          <cell r="F96" t="str">
            <v>CONFERIDO - MATEUS</v>
          </cell>
        </row>
        <row r="97">
          <cell r="B97" t="str">
            <v>DLH-0090</v>
          </cell>
          <cell r="F97" t="str">
            <v>CONFERIDO - MATEUS</v>
          </cell>
        </row>
        <row r="98">
          <cell r="B98" t="str">
            <v>DLH-0091</v>
          </cell>
          <cell r="F98" t="str">
            <v>CONFERIDO - MATEUS</v>
          </cell>
        </row>
        <row r="99">
          <cell r="B99" t="str">
            <v>DLH-0092</v>
          </cell>
          <cell r="F99" t="str">
            <v>PARA CALIBRAR - MATEUS</v>
          </cell>
        </row>
        <row r="100">
          <cell r="B100" t="str">
            <v>DLH-0093</v>
          </cell>
          <cell r="F100" t="str">
            <v>CONFERIDO - MATEUS</v>
          </cell>
        </row>
        <row r="101">
          <cell r="B101" t="str">
            <v>DLH-0094</v>
          </cell>
          <cell r="F101" t="str">
            <v>CONFERIDO - MATEUS</v>
          </cell>
        </row>
        <row r="102">
          <cell r="B102" t="str">
            <v>DLH-0095</v>
          </cell>
          <cell r="F102" t="str">
            <v>CONFERIDO - MATEUS</v>
          </cell>
        </row>
        <row r="103">
          <cell r="B103" t="str">
            <v>DLH-0096</v>
          </cell>
          <cell r="F103" t="str">
            <v>PARA CALIBRAR - MATEUS</v>
          </cell>
        </row>
        <row r="104">
          <cell r="B104" t="str">
            <v>DLH-0097</v>
          </cell>
          <cell r="F104" t="str">
            <v>NÃO CONFORME - MATEUS</v>
          </cell>
        </row>
        <row r="105">
          <cell r="B105" t="str">
            <v>DLH-0098</v>
          </cell>
          <cell r="F105" t="str">
            <v>CONFERIDO - MATEUS</v>
          </cell>
        </row>
        <row r="106">
          <cell r="B106" t="str">
            <v>DLH-0099</v>
          </cell>
          <cell r="F106" t="str">
            <v>PARA CALIBRAR - MATEUS</v>
          </cell>
        </row>
        <row r="107">
          <cell r="B107" t="str">
            <v>DLH-0100</v>
          </cell>
          <cell r="F107" t="str">
            <v>CONFERIDO - MATEUS</v>
          </cell>
        </row>
        <row r="108">
          <cell r="B108" t="str">
            <v>DLH-0101</v>
          </cell>
          <cell r="F108" t="str">
            <v>NÃO CONFORME - MATEUS</v>
          </cell>
        </row>
        <row r="109">
          <cell r="B109" t="str">
            <v>DLH-0102</v>
          </cell>
          <cell r="F109" t="str">
            <v>NÃO CONFORME - MATEUS</v>
          </cell>
        </row>
        <row r="110">
          <cell r="B110" t="str">
            <v>DLH-0103</v>
          </cell>
          <cell r="F110" t="str">
            <v>NÃO CONFORME - MATEUS</v>
          </cell>
        </row>
        <row r="111">
          <cell r="B111" t="str">
            <v>DLH-0104</v>
          </cell>
          <cell r="F111" t="str">
            <v>PARA CALIBRAR - MATEUS</v>
          </cell>
        </row>
        <row r="112">
          <cell r="B112" t="str">
            <v>DLH-0105</v>
          </cell>
          <cell r="F112" t="str">
            <v>CONFERIDO - MATEUS</v>
          </cell>
        </row>
        <row r="113">
          <cell r="B113" t="str">
            <v>DLH-0106</v>
          </cell>
          <cell r="F113" t="str">
            <v>CONFERIDO - MATEUS</v>
          </cell>
        </row>
        <row r="114">
          <cell r="B114" t="str">
            <v>DLH-0107</v>
          </cell>
          <cell r="F114" t="str">
            <v>NÃO CONFORME - MATEUS</v>
          </cell>
        </row>
        <row r="115">
          <cell r="B115" t="str">
            <v>DLH-0108</v>
          </cell>
          <cell r="F115" t="str">
            <v>PARA CALIBRAR - MATEUS</v>
          </cell>
        </row>
        <row r="116">
          <cell r="B116" t="str">
            <v>DLH-0109</v>
          </cell>
          <cell r="F116" t="str">
            <v>CONFERIDO - MATEUS</v>
          </cell>
        </row>
        <row r="117">
          <cell r="B117" t="str">
            <v>DLH-0110</v>
          </cell>
          <cell r="F117" t="str">
            <v>CONFERIDO - MATEUS</v>
          </cell>
        </row>
        <row r="118">
          <cell r="B118" t="str">
            <v>DLH-0111</v>
          </cell>
          <cell r="F118" t="str">
            <v>NÃO CONFORME - MATEUS</v>
          </cell>
        </row>
        <row r="119">
          <cell r="B119" t="str">
            <v>DLH-0112</v>
          </cell>
          <cell r="F119" t="str">
            <v>CONFERIDO - MATEUS</v>
          </cell>
        </row>
        <row r="120">
          <cell r="B120" t="str">
            <v>DLH-0113</v>
          </cell>
          <cell r="F120" t="str">
            <v>CONFERIDO - MATEUS</v>
          </cell>
        </row>
        <row r="121">
          <cell r="B121" t="str">
            <v>DLH-0114</v>
          </cell>
          <cell r="F121" t="str">
            <v>CONFERIDO - MATEUS</v>
          </cell>
        </row>
        <row r="122">
          <cell r="B122" t="str">
            <v>DLH-0115</v>
          </cell>
          <cell r="F122" t="str">
            <v>PARA CALIBRAR - MATEUS</v>
          </cell>
        </row>
        <row r="123">
          <cell r="B123" t="str">
            <v>DLH-0116</v>
          </cell>
          <cell r="F123" t="str">
            <v>PARA CALIBRAR - MATEUS</v>
          </cell>
        </row>
        <row r="124">
          <cell r="B124" t="str">
            <v>DLH-0117</v>
          </cell>
          <cell r="F124" t="str">
            <v>PARA CALIBRAR - MATEUS</v>
          </cell>
        </row>
        <row r="125">
          <cell r="B125" t="str">
            <v>DLH-0118</v>
          </cell>
          <cell r="F125" t="str">
            <v>PARA CALIBRAR - MATEUS</v>
          </cell>
        </row>
        <row r="126">
          <cell r="B126" t="str">
            <v>DLH-0119</v>
          </cell>
          <cell r="F126" t="str">
            <v>CONFERIDO - MATEUS</v>
          </cell>
        </row>
        <row r="127">
          <cell r="B127" t="str">
            <v>DLH-0120</v>
          </cell>
          <cell r="F127" t="str">
            <v>CONFERIDO - MATEUS</v>
          </cell>
        </row>
        <row r="128">
          <cell r="B128" t="str">
            <v>DLH-0121</v>
          </cell>
          <cell r="F128" t="str">
            <v>CONFERIDO - MATEUS</v>
          </cell>
        </row>
        <row r="129">
          <cell r="B129" t="str">
            <v>DLH-0122</v>
          </cell>
          <cell r="F129" t="str">
            <v>CONFERIDO - MATEUS</v>
          </cell>
        </row>
        <row r="130">
          <cell r="B130" t="str">
            <v>DLH-0123</v>
          </cell>
          <cell r="F130" t="str">
            <v>CONFERIDO - MATEUS</v>
          </cell>
        </row>
        <row r="131">
          <cell r="B131" t="str">
            <v>DLH-0124</v>
          </cell>
          <cell r="F131" t="str">
            <v>CONFERIDO - MATEUS</v>
          </cell>
        </row>
        <row r="132">
          <cell r="B132" t="str">
            <v>DLH-0125</v>
          </cell>
          <cell r="F132" t="str">
            <v>PARA CALIBRAR - MATEUS</v>
          </cell>
        </row>
        <row r="133">
          <cell r="B133" t="str">
            <v>DLH-0126</v>
          </cell>
          <cell r="F133" t="str">
            <v>CONFERIDO - MATEUS</v>
          </cell>
        </row>
        <row r="134">
          <cell r="B134" t="str">
            <v>DLH-0127</v>
          </cell>
          <cell r="F134" t="str">
            <v>CONFERIDO - MATEUS</v>
          </cell>
        </row>
        <row r="135">
          <cell r="B135" t="str">
            <v>DLH-0128</v>
          </cell>
          <cell r="F135" t="str">
            <v>PARA CALIBRAR - MATEUS</v>
          </cell>
        </row>
        <row r="136">
          <cell r="B136" t="str">
            <v>DLH-0129</v>
          </cell>
          <cell r="F136" t="str">
            <v>CONFERIDO - MATEUS</v>
          </cell>
        </row>
        <row r="137">
          <cell r="B137" t="str">
            <v>DLH-0130</v>
          </cell>
          <cell r="F137" t="str">
            <v>PARA CALIBRAR - MATEUS</v>
          </cell>
        </row>
        <row r="138">
          <cell r="B138" t="str">
            <v>DLH-0131</v>
          </cell>
          <cell r="F138" t="str">
            <v>CONFERIDO - MATEUS</v>
          </cell>
        </row>
        <row r="139">
          <cell r="B139" t="str">
            <v>DLH-0132</v>
          </cell>
          <cell r="F139" t="str">
            <v>CONFERIDO - MATEUS</v>
          </cell>
        </row>
        <row r="140">
          <cell r="B140" t="str">
            <v>DLH-0133</v>
          </cell>
          <cell r="F140" t="str">
            <v>CONFERIDO - MATEUS</v>
          </cell>
        </row>
        <row r="141">
          <cell r="B141" t="str">
            <v>DLH-0134</v>
          </cell>
          <cell r="F141" t="str">
            <v>PARA CALIBRAR - MATEUS</v>
          </cell>
        </row>
        <row r="142">
          <cell r="B142" t="str">
            <v>DLH-0135</v>
          </cell>
          <cell r="F142" t="str">
            <v>CONFERIDO - MATEUS</v>
          </cell>
        </row>
        <row r="143">
          <cell r="B143" t="str">
            <v>DLH-0136</v>
          </cell>
          <cell r="F143" t="str">
            <v>CONFERIDO - MATEUS</v>
          </cell>
        </row>
        <row r="144">
          <cell r="B144" t="str">
            <v>DLH-0137</v>
          </cell>
          <cell r="F144" t="str">
            <v>PARA CALIBRAR - MATEUS</v>
          </cell>
        </row>
        <row r="145">
          <cell r="B145" t="str">
            <v>DLH-0138</v>
          </cell>
          <cell r="F145" t="str">
            <v>PARA CALIBRAR - MATEUS</v>
          </cell>
        </row>
        <row r="146">
          <cell r="B146" t="str">
            <v>DLH-0139</v>
          </cell>
          <cell r="F146" t="str">
            <v>PARA CALIBRAR - MATEUS</v>
          </cell>
        </row>
        <row r="147">
          <cell r="B147" t="str">
            <v>DLH-0140</v>
          </cell>
          <cell r="F147" t="str">
            <v>CONFERIDO - MATEUS</v>
          </cell>
        </row>
        <row r="148">
          <cell r="B148" t="str">
            <v>DLH-0141</v>
          </cell>
          <cell r="F148" t="str">
            <v>CONFERIDO - MATEUS</v>
          </cell>
        </row>
        <row r="149">
          <cell r="B149" t="str">
            <v>DLH-0142</v>
          </cell>
          <cell r="F149" t="str">
            <v>PARA CALIBRAR - MATEUS</v>
          </cell>
        </row>
        <row r="150">
          <cell r="B150" t="str">
            <v>DLH-0143</v>
          </cell>
          <cell r="F150" t="str">
            <v>PARA CALIBRAR - MATEUS</v>
          </cell>
        </row>
        <row r="151">
          <cell r="B151" t="str">
            <v>DLH-0144</v>
          </cell>
          <cell r="F151" t="str">
            <v>NÃO CONFORME - MATEUS</v>
          </cell>
        </row>
        <row r="152">
          <cell r="B152" t="str">
            <v>DLH-0145</v>
          </cell>
          <cell r="F152" t="str">
            <v>CONFERIDO - MATEUS</v>
          </cell>
        </row>
        <row r="153">
          <cell r="B153" t="str">
            <v>DLH-0146</v>
          </cell>
          <cell r="F153" t="str">
            <v>PARA CALIBRAR - MATEUS</v>
          </cell>
        </row>
        <row r="154">
          <cell r="B154" t="str">
            <v>DLH-0147</v>
          </cell>
          <cell r="F154" t="str">
            <v>CONFERIDO - MATEUS</v>
          </cell>
        </row>
        <row r="155">
          <cell r="B155" t="str">
            <v>DLH-0148</v>
          </cell>
          <cell r="F155" t="str">
            <v>PARA CALIBRAR - MATEUS</v>
          </cell>
        </row>
        <row r="156">
          <cell r="B156" t="str">
            <v>DLH-0149</v>
          </cell>
          <cell r="F156" t="str">
            <v>PERDIDO - MATEUS</v>
          </cell>
        </row>
        <row r="157">
          <cell r="B157" t="str">
            <v>DLH-0150</v>
          </cell>
          <cell r="F157" t="str">
            <v>PARA CALIBRAR - MATEUS</v>
          </cell>
        </row>
        <row r="158">
          <cell r="B158" t="str">
            <v>DLH-0151</v>
          </cell>
          <cell r="F158" t="str">
            <v>PARA CALIBRAR - MATEUS</v>
          </cell>
        </row>
        <row r="159">
          <cell r="B159" t="str">
            <v>DLH-0152</v>
          </cell>
          <cell r="F159" t="str">
            <v>NÃO CONFORME - MATEUS</v>
          </cell>
        </row>
        <row r="160">
          <cell r="B160" t="str">
            <v>DLH-0153</v>
          </cell>
          <cell r="F160" t="str">
            <v>CONFERIDO - MATEUS</v>
          </cell>
        </row>
        <row r="161">
          <cell r="B161" t="str">
            <v>DLH-0154</v>
          </cell>
          <cell r="F161" t="str">
            <v>CONFERIDO - MATEUS</v>
          </cell>
        </row>
        <row r="162">
          <cell r="B162" t="str">
            <v>DLH-0155</v>
          </cell>
          <cell r="F162" t="str">
            <v>PARA CALIBRAR - MATEUS</v>
          </cell>
        </row>
        <row r="163">
          <cell r="B163" t="str">
            <v>DLH-0156</v>
          </cell>
          <cell r="F163" t="str">
            <v>CONFERIDO - MATEUS</v>
          </cell>
        </row>
        <row r="164">
          <cell r="B164" t="str">
            <v>DLH-0157</v>
          </cell>
          <cell r="F164" t="str">
            <v>CONFERIDO - MATEUS</v>
          </cell>
        </row>
        <row r="165">
          <cell r="B165" t="str">
            <v>DLH-0158</v>
          </cell>
          <cell r="F165" t="str">
            <v>CONFERIDO - MATEUS</v>
          </cell>
        </row>
        <row r="166">
          <cell r="B166" t="str">
            <v>DLH-0159</v>
          </cell>
          <cell r="F166" t="str">
            <v>CONFERIDO - MATEUS</v>
          </cell>
        </row>
        <row r="167">
          <cell r="B167" t="str">
            <v>DLH-0160</v>
          </cell>
          <cell r="F167" t="str">
            <v>CONFERIDO - MATEUS</v>
          </cell>
        </row>
        <row r="168">
          <cell r="B168" t="str">
            <v>DLH-0161</v>
          </cell>
          <cell r="F168" t="str">
            <v>CONFERIDO - MATEUS</v>
          </cell>
        </row>
        <row r="169">
          <cell r="B169" t="str">
            <v>DLH-0162</v>
          </cell>
          <cell r="F169" t="str">
            <v>CONFERIDO - MATEUS</v>
          </cell>
        </row>
        <row r="170">
          <cell r="B170" t="str">
            <v>DLH-0163</v>
          </cell>
          <cell r="F170" t="str">
            <v>PARA CALIBRAR - MATEUS</v>
          </cell>
        </row>
        <row r="171">
          <cell r="B171" t="str">
            <v>DLH-0164</v>
          </cell>
          <cell r="F171" t="str">
            <v>CONFERIDO - MATEUS</v>
          </cell>
        </row>
        <row r="172">
          <cell r="B172" t="str">
            <v>DLH-0165</v>
          </cell>
          <cell r="F172" t="str">
            <v>CONFERIDO - MATEUS</v>
          </cell>
        </row>
        <row r="173">
          <cell r="B173" t="str">
            <v>DLH-0166</v>
          </cell>
          <cell r="F173" t="str">
            <v>CONFERIDO - MATEUS</v>
          </cell>
        </row>
        <row r="174">
          <cell r="B174" t="str">
            <v>DLH-0167</v>
          </cell>
          <cell r="F174" t="str">
            <v>CONFERIDO - MATEUS</v>
          </cell>
        </row>
        <row r="175">
          <cell r="B175" t="str">
            <v>DLH-0168</v>
          </cell>
          <cell r="F175" t="str">
            <v>PARA CALIBRAR - MATEUS</v>
          </cell>
        </row>
        <row r="176">
          <cell r="B176" t="str">
            <v>DLH-0169</v>
          </cell>
          <cell r="F176" t="str">
            <v>CONFERIDO - MATEUS</v>
          </cell>
        </row>
        <row r="177">
          <cell r="B177" t="str">
            <v>DLH-0170</v>
          </cell>
          <cell r="F177" t="str">
            <v>NÃO CONFORME - MATEUS</v>
          </cell>
        </row>
        <row r="178">
          <cell r="B178" t="str">
            <v>DLH-0171</v>
          </cell>
          <cell r="F178" t="str">
            <v>PARA CALIBRAR - MATEUS</v>
          </cell>
        </row>
        <row r="179">
          <cell r="B179" t="str">
            <v>DLH-0172</v>
          </cell>
          <cell r="F179" t="str">
            <v>NÃO CONFORME - MATEUS</v>
          </cell>
        </row>
        <row r="180">
          <cell r="B180" t="str">
            <v>DLH-0173</v>
          </cell>
          <cell r="F180" t="str">
            <v>PARA CALIBRAR - MATEUS</v>
          </cell>
        </row>
        <row r="181">
          <cell r="B181" t="str">
            <v>DLH-0174</v>
          </cell>
          <cell r="F181" t="str">
            <v>CONFERIDO - MATEUS</v>
          </cell>
        </row>
        <row r="182">
          <cell r="B182" t="str">
            <v>DLH-0175</v>
          </cell>
          <cell r="F182" t="str">
            <v>PARA CALIBRAR - MATEUS</v>
          </cell>
        </row>
        <row r="183">
          <cell r="B183" t="str">
            <v>DLH-0176</v>
          </cell>
          <cell r="F183" t="str">
            <v>CONFERIDO - MATEUS</v>
          </cell>
        </row>
        <row r="184">
          <cell r="B184" t="str">
            <v>DLH-0177</v>
          </cell>
          <cell r="F184" t="str">
            <v>CONFERIDO - MATEUS</v>
          </cell>
        </row>
        <row r="185">
          <cell r="B185" t="str">
            <v>DLH-0178</v>
          </cell>
          <cell r="F185" t="str">
            <v>CONFERIDO - MATEUS</v>
          </cell>
        </row>
        <row r="186">
          <cell r="B186" t="str">
            <v>DLH-0179</v>
          </cell>
          <cell r="F186" t="str">
            <v>CONFERIDO - MATEUS</v>
          </cell>
        </row>
        <row r="187">
          <cell r="B187" t="str">
            <v>DLH-0180</v>
          </cell>
          <cell r="F187" t="str">
            <v>CONFERIDO - MATEUS</v>
          </cell>
        </row>
        <row r="188">
          <cell r="B188" t="str">
            <v>DLH-0181</v>
          </cell>
          <cell r="F188" t="str">
            <v>PARA CALIBRAR - MATEUS</v>
          </cell>
        </row>
        <row r="189">
          <cell r="B189" t="str">
            <v>DLH-0182</v>
          </cell>
          <cell r="F189" t="str">
            <v>CONFERIDO - MATEUS</v>
          </cell>
        </row>
        <row r="190">
          <cell r="B190" t="str">
            <v>DLH-0183</v>
          </cell>
          <cell r="F190" t="str">
            <v>CONFERIDO - MATEUS</v>
          </cell>
        </row>
        <row r="191">
          <cell r="B191" t="str">
            <v>DLH-0184</v>
          </cell>
          <cell r="F191" t="str">
            <v>CONFERIDO - MATEUS</v>
          </cell>
        </row>
        <row r="192">
          <cell r="B192" t="str">
            <v>DLH-0185</v>
          </cell>
          <cell r="F192" t="str">
            <v>CONFERIDO - MATEUS</v>
          </cell>
        </row>
        <row r="193">
          <cell r="B193" t="str">
            <v>DLH-0186</v>
          </cell>
          <cell r="F193" t="str">
            <v>PARA CALIBRAR - MATEUS</v>
          </cell>
        </row>
        <row r="194">
          <cell r="B194" t="str">
            <v>DLH-0187</v>
          </cell>
          <cell r="F194" t="str">
            <v>PARA CALIBRAR - MATEUS</v>
          </cell>
        </row>
        <row r="195">
          <cell r="B195" t="str">
            <v>DLH-0188</v>
          </cell>
          <cell r="F195" t="str">
            <v>CONFERIDO - MATEUS</v>
          </cell>
        </row>
        <row r="196">
          <cell r="B196" t="str">
            <v>DLH-0189</v>
          </cell>
          <cell r="F196" t="str">
            <v>PARA CALIBRAR - MATEUS</v>
          </cell>
        </row>
        <row r="197">
          <cell r="B197" t="str">
            <v>DLH-0190</v>
          </cell>
          <cell r="F197" t="str">
            <v>CONFERIDO - MATEUS</v>
          </cell>
        </row>
        <row r="198">
          <cell r="B198" t="str">
            <v>DLH-0191</v>
          </cell>
          <cell r="F198" t="str">
            <v>CONFERIDO - MATEUS</v>
          </cell>
        </row>
        <row r="199">
          <cell r="B199" t="str">
            <v>DLH-0192</v>
          </cell>
          <cell r="F199" t="str">
            <v>CONFERIDO - MATEUS</v>
          </cell>
        </row>
        <row r="200">
          <cell r="B200" t="str">
            <v>DLH-0193</v>
          </cell>
          <cell r="F200" t="str">
            <v>PARA CALIBRAR - MATEUS</v>
          </cell>
        </row>
        <row r="201">
          <cell r="B201" t="str">
            <v>DLH-0194</v>
          </cell>
          <cell r="F201" t="str">
            <v>CONFERIDO - MATEUS</v>
          </cell>
        </row>
        <row r="202">
          <cell r="B202" t="str">
            <v>DLH-0195</v>
          </cell>
          <cell r="F202" t="str">
            <v>NÃO CONFORME - MATEUS</v>
          </cell>
        </row>
        <row r="203">
          <cell r="B203" t="str">
            <v>DLH-0196</v>
          </cell>
          <cell r="F203" t="str">
            <v>PARA CALIBRAR - MATEUS</v>
          </cell>
        </row>
        <row r="204">
          <cell r="B204" t="str">
            <v>DLH-0197</v>
          </cell>
          <cell r="F204" t="str">
            <v>CONFERIDO - MATEUS</v>
          </cell>
        </row>
        <row r="205">
          <cell r="B205" t="str">
            <v>DLH-0198</v>
          </cell>
          <cell r="F205" t="str">
            <v>NÃO CONFORME - MATEUS</v>
          </cell>
        </row>
        <row r="206">
          <cell r="B206" t="str">
            <v>DLH-0199</v>
          </cell>
          <cell r="F206" t="str">
            <v>CONFERIDO - MATEUS</v>
          </cell>
        </row>
        <row r="207">
          <cell r="B207" t="str">
            <v>DLH-0200</v>
          </cell>
          <cell r="F207" t="str">
            <v>PERDIDO - MATEUS</v>
          </cell>
        </row>
        <row r="208">
          <cell r="B208" t="str">
            <v>DLH-0201</v>
          </cell>
          <cell r="F208" t="str">
            <v>CONFERIDO - MATEUS</v>
          </cell>
        </row>
        <row r="209">
          <cell r="B209" t="str">
            <v>DLH-0202</v>
          </cell>
          <cell r="F209" t="str">
            <v>CONFERIDO - MATEUS</v>
          </cell>
        </row>
        <row r="210">
          <cell r="B210" t="str">
            <v>DLH-0203</v>
          </cell>
          <cell r="F210" t="str">
            <v>CONFERIDO - MATEUS</v>
          </cell>
        </row>
        <row r="211">
          <cell r="B211" t="str">
            <v>DLH-0204</v>
          </cell>
          <cell r="F211" t="str">
            <v>CONFERIDO - MATEUS</v>
          </cell>
        </row>
        <row r="212">
          <cell r="B212" t="str">
            <v>DLH-0205</v>
          </cell>
          <cell r="F212" t="str">
            <v>QUEBRADO - MATEUS</v>
          </cell>
        </row>
        <row r="213">
          <cell r="B213" t="str">
            <v>DLH-0206</v>
          </cell>
          <cell r="F213" t="str">
            <v>PARA CALIBRAR - MATEUS</v>
          </cell>
        </row>
        <row r="214">
          <cell r="B214" t="str">
            <v>DLH-0207</v>
          </cell>
          <cell r="F214" t="str">
            <v>CONFERIDO - MATEUS</v>
          </cell>
        </row>
        <row r="215">
          <cell r="B215" t="str">
            <v>DLH-0208</v>
          </cell>
          <cell r="F215" t="str">
            <v>CONFERIDO - MATEUS</v>
          </cell>
        </row>
        <row r="216">
          <cell r="B216" t="str">
            <v>DLH-0209</v>
          </cell>
          <cell r="F216" t="str">
            <v>CONFERIDO - MATEUS</v>
          </cell>
        </row>
        <row r="217">
          <cell r="B217" t="str">
            <v>DLH-0210</v>
          </cell>
          <cell r="F217" t="str">
            <v>NÃO CONFORME - MATEUS</v>
          </cell>
        </row>
        <row r="218">
          <cell r="B218" t="str">
            <v>DLH-0211</v>
          </cell>
          <cell r="F218" t="str">
            <v>PARA CALIBRAR - MATEUS</v>
          </cell>
        </row>
        <row r="219">
          <cell r="B219" t="str">
            <v>DLH-0212</v>
          </cell>
          <cell r="F219" t="str">
            <v>CONFERIDO - MATEUS</v>
          </cell>
        </row>
        <row r="220">
          <cell r="B220" t="str">
            <v>DLH-0213</v>
          </cell>
          <cell r="F220" t="str">
            <v>PARA CALIBRAR - MATEUS</v>
          </cell>
        </row>
        <row r="221">
          <cell r="B221" t="str">
            <v>DLH-0214</v>
          </cell>
          <cell r="F221" t="str">
            <v>NÃO CONFORME - MATEUS</v>
          </cell>
        </row>
        <row r="222">
          <cell r="B222" t="str">
            <v>DLH-0215</v>
          </cell>
          <cell r="F222" t="str">
            <v>CONFERIDO - MATEUS</v>
          </cell>
        </row>
        <row r="223">
          <cell r="B223" t="str">
            <v>DLH-0216</v>
          </cell>
          <cell r="F223" t="str">
            <v>PARA CALIBRAR - MATEUS</v>
          </cell>
        </row>
        <row r="224">
          <cell r="B224" t="str">
            <v>DLH-0217</v>
          </cell>
          <cell r="F224" t="str">
            <v>PERDIDO - MATEUS</v>
          </cell>
        </row>
        <row r="225">
          <cell r="B225" t="str">
            <v>DLH-0218</v>
          </cell>
          <cell r="F225" t="str">
            <v>CONFERIDO - MATEUS</v>
          </cell>
        </row>
        <row r="226">
          <cell r="B226" t="str">
            <v>DLH-0219</v>
          </cell>
          <cell r="F226" t="str">
            <v>CONFERIDO - MATEUS</v>
          </cell>
        </row>
        <row r="227">
          <cell r="B227" t="str">
            <v>DLH-0220</v>
          </cell>
          <cell r="F227" t="str">
            <v>CONFERIDO - MATEUS</v>
          </cell>
        </row>
        <row r="228">
          <cell r="B228" t="str">
            <v>DLH-0221</v>
          </cell>
          <cell r="F228" t="str">
            <v>PARA CALIBRAR - MATEUS</v>
          </cell>
        </row>
        <row r="229">
          <cell r="B229" t="str">
            <v>DLH-0222</v>
          </cell>
          <cell r="F229" t="str">
            <v>PARA CALIBRAR - MATEUS</v>
          </cell>
        </row>
        <row r="230">
          <cell r="B230" t="str">
            <v>DLH-0223</v>
          </cell>
          <cell r="F230" t="str">
            <v>CONFERIDO - MATEUS</v>
          </cell>
        </row>
        <row r="231">
          <cell r="B231" t="str">
            <v>DLH-0224</v>
          </cell>
          <cell r="F231" t="str">
            <v>CONFERIDO - MATEUS</v>
          </cell>
        </row>
        <row r="232">
          <cell r="B232" t="str">
            <v>DLH-0225</v>
          </cell>
          <cell r="F232" t="str">
            <v>CONFERIDO - MATEUS</v>
          </cell>
        </row>
        <row r="233">
          <cell r="B233" t="str">
            <v>DLH-0226</v>
          </cell>
          <cell r="F233" t="str">
            <v>NÃO CONFORME - MATEUS</v>
          </cell>
        </row>
        <row r="234">
          <cell r="B234" t="str">
            <v>DLH-0227</v>
          </cell>
          <cell r="F234" t="str">
            <v>PARA CALIBRAR - MATEUS</v>
          </cell>
        </row>
        <row r="235">
          <cell r="B235" t="str">
            <v>DLH-0228</v>
          </cell>
          <cell r="F235" t="str">
            <v>PARA CALIBRAR - MATEUS</v>
          </cell>
        </row>
        <row r="236">
          <cell r="B236" t="str">
            <v>DLH-0229</v>
          </cell>
          <cell r="F236" t="str">
            <v>CONFERIDO - MATEUS</v>
          </cell>
        </row>
        <row r="237">
          <cell r="B237" t="str">
            <v>DLH-0230</v>
          </cell>
          <cell r="F237" t="str">
            <v>PERDIDO - MATEUS</v>
          </cell>
        </row>
        <row r="238">
          <cell r="B238" t="str">
            <v>DLH-0231</v>
          </cell>
          <cell r="F238" t="str">
            <v>CONFERIDO - MATEUS</v>
          </cell>
        </row>
        <row r="239">
          <cell r="B239" t="str">
            <v>DLH-0232</v>
          </cell>
          <cell r="F239" t="str">
            <v>PARA CALIBRAR - MATEUS</v>
          </cell>
        </row>
        <row r="240">
          <cell r="B240" t="str">
            <v>DLH-0233</v>
          </cell>
          <cell r="F240" t="str">
            <v>CONFERIDO - MATEUS</v>
          </cell>
        </row>
        <row r="241">
          <cell r="B241" t="str">
            <v>DLH-0234</v>
          </cell>
          <cell r="F241" t="str">
            <v>CONFERIDO - MATEUS</v>
          </cell>
        </row>
        <row r="242">
          <cell r="B242" t="str">
            <v>DLH-0235</v>
          </cell>
          <cell r="F242" t="str">
            <v>CONFERIDO - MATEUS</v>
          </cell>
        </row>
        <row r="243">
          <cell r="B243" t="str">
            <v>DLH-0236</v>
          </cell>
          <cell r="F243" t="str">
            <v>CONFERIDO - MATEUS</v>
          </cell>
        </row>
        <row r="244">
          <cell r="B244" t="str">
            <v>DLH-0237</v>
          </cell>
          <cell r="F244" t="str">
            <v>CONFERIDO - MATEUS</v>
          </cell>
        </row>
        <row r="245">
          <cell r="B245" t="str">
            <v>DLH-0238</v>
          </cell>
          <cell r="F245" t="str">
            <v>PARA CALIBRAR - MATEUS</v>
          </cell>
        </row>
        <row r="246">
          <cell r="B246" t="str">
            <v>DLH-0239</v>
          </cell>
          <cell r="F246" t="str">
            <v>NÃO CONFORME - MATEUS</v>
          </cell>
        </row>
        <row r="247">
          <cell r="B247" t="str">
            <v>DLH-0240</v>
          </cell>
          <cell r="F247" t="str">
            <v>NÃO CONFORME - MATEUS</v>
          </cell>
        </row>
        <row r="248">
          <cell r="B248" t="str">
            <v>DLH-0241</v>
          </cell>
          <cell r="F248" t="str">
            <v>PARA CALIBRAR - MATEUS</v>
          </cell>
        </row>
        <row r="249">
          <cell r="B249" t="str">
            <v>DLH-0242</v>
          </cell>
          <cell r="F249" t="str">
            <v>CONFERIDO - MATEUS</v>
          </cell>
        </row>
        <row r="250">
          <cell r="B250" t="str">
            <v>DLH-0243</v>
          </cell>
          <cell r="F250" t="str">
            <v>PARA CALIBRAR - MATEUS</v>
          </cell>
        </row>
        <row r="251">
          <cell r="B251" t="str">
            <v>DLH-0244</v>
          </cell>
          <cell r="F251" t="str">
            <v>PERDIDO - MATEUS</v>
          </cell>
        </row>
        <row r="252">
          <cell r="B252" t="str">
            <v>DLH-0245</v>
          </cell>
          <cell r="F252" t="str">
            <v>CONFERIDO - MATEUS</v>
          </cell>
        </row>
        <row r="253">
          <cell r="B253" t="str">
            <v>DLH-0246</v>
          </cell>
          <cell r="F253" t="str">
            <v>PERDIDO - MATEUS</v>
          </cell>
        </row>
        <row r="254">
          <cell r="B254" t="str">
            <v>DLH-0247</v>
          </cell>
          <cell r="F254" t="str">
            <v>PARA CALIBRAR - MATEUS</v>
          </cell>
        </row>
        <row r="255">
          <cell r="B255" t="str">
            <v>DLH-0248</v>
          </cell>
          <cell r="F255" t="str">
            <v>PARA CALIBRAR - MATEUS</v>
          </cell>
        </row>
        <row r="256">
          <cell r="B256" t="str">
            <v>DLH-0249</v>
          </cell>
          <cell r="F256" t="str">
            <v>PARA CALIBRAR - MATEUS</v>
          </cell>
        </row>
        <row r="257">
          <cell r="B257" t="str">
            <v>DLH-0250</v>
          </cell>
          <cell r="F257" t="str">
            <v>PARA CALIBRAR - MATEUS</v>
          </cell>
        </row>
        <row r="258">
          <cell r="B258" t="str">
            <v>DLH-0251</v>
          </cell>
          <cell r="F258" t="str">
            <v>CONFERIDO - MATEUS</v>
          </cell>
        </row>
        <row r="259">
          <cell r="B259" t="str">
            <v>DLH-0252</v>
          </cell>
          <cell r="F259" t="str">
            <v>PARA CALIBRAR - MATEUS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4E5A-6CE5-432A-865D-0B577996BCE1}">
  <dimension ref="A1:Y263"/>
  <sheetViews>
    <sheetView tabSelected="1" zoomScale="70" zoomScaleNormal="70" workbookViewId="0">
      <selection activeCell="V15" sqref="V15"/>
    </sheetView>
  </sheetViews>
  <sheetFormatPr defaultRowHeight="15" x14ac:dyDescent="0.25"/>
  <cols>
    <col min="1" max="1" width="13.5703125" customWidth="1"/>
    <col min="3" max="3" width="14.5703125" customWidth="1"/>
    <col min="15" max="15" width="21.7109375" customWidth="1"/>
    <col min="25" max="25" width="18.28515625" customWidth="1"/>
  </cols>
  <sheetData>
    <row r="1" spans="1:25" x14ac:dyDescent="0.25">
      <c r="A1" s="1" t="s">
        <v>0</v>
      </c>
      <c r="B1" s="2"/>
      <c r="C1" s="2"/>
      <c r="D1" s="3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5"/>
    </row>
    <row r="2" spans="1:25" x14ac:dyDescent="0.25">
      <c r="A2" s="6" t="s">
        <v>292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  <c r="Y2" s="9"/>
    </row>
    <row r="3" spans="1:25" x14ac:dyDescent="0.25">
      <c r="A3" s="10"/>
      <c r="B3" s="11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14"/>
    </row>
    <row r="5" spans="1:25" x14ac:dyDescent="0.25">
      <c r="A5" s="15" t="s">
        <v>2</v>
      </c>
      <c r="B5" s="15"/>
      <c r="C5" s="16" t="s">
        <v>3</v>
      </c>
      <c r="E5" s="17"/>
      <c r="F5" s="18" t="s">
        <v>4</v>
      </c>
      <c r="G5" s="19"/>
      <c r="H5" s="19"/>
      <c r="I5" s="19"/>
      <c r="J5" s="20"/>
      <c r="K5" s="21" t="s">
        <v>5</v>
      </c>
      <c r="L5" s="22"/>
      <c r="M5" s="22"/>
      <c r="N5" s="22"/>
      <c r="O5" s="22"/>
      <c r="P5" s="22"/>
      <c r="Q5" s="22"/>
      <c r="R5" s="23"/>
      <c r="S5" s="24" t="s">
        <v>6</v>
      </c>
      <c r="T5" s="25"/>
      <c r="U5" s="25"/>
      <c r="V5" s="25"/>
      <c r="W5" s="25"/>
      <c r="X5" s="25"/>
      <c r="Y5" s="25"/>
    </row>
    <row r="6" spans="1:25" x14ac:dyDescent="0.25">
      <c r="A6" s="15"/>
      <c r="B6" s="15"/>
      <c r="C6" s="26" t="s">
        <v>7</v>
      </c>
      <c r="D6" s="27"/>
      <c r="E6" s="17"/>
      <c r="F6" s="28"/>
      <c r="G6" s="29"/>
      <c r="H6" s="29"/>
      <c r="I6" s="29"/>
      <c r="J6" s="30"/>
      <c r="K6" s="21" t="s">
        <v>8</v>
      </c>
      <c r="L6" s="23"/>
      <c r="M6" s="31">
        <v>0.1</v>
      </c>
      <c r="N6" s="21" t="s">
        <v>9</v>
      </c>
      <c r="O6" s="23"/>
      <c r="P6" s="32" t="s">
        <v>10</v>
      </c>
      <c r="Q6" s="33" t="s">
        <v>11</v>
      </c>
      <c r="R6" s="34">
        <v>0.5</v>
      </c>
      <c r="S6" s="35" t="s">
        <v>12</v>
      </c>
      <c r="T6" s="36"/>
      <c r="U6" s="36"/>
      <c r="V6" s="36"/>
      <c r="W6" s="36"/>
      <c r="X6" s="36"/>
      <c r="Y6" s="36"/>
    </row>
    <row r="7" spans="1:25" x14ac:dyDescent="0.25">
      <c r="A7" s="15"/>
      <c r="B7" s="15"/>
      <c r="C7" s="37" t="s">
        <v>13</v>
      </c>
      <c r="D7" s="27"/>
      <c r="E7" s="17"/>
      <c r="F7" s="28"/>
      <c r="G7" s="29"/>
      <c r="H7" s="29"/>
      <c r="I7" s="29"/>
      <c r="J7" s="30"/>
      <c r="K7" s="21" t="s">
        <v>14</v>
      </c>
      <c r="L7" s="22"/>
      <c r="M7" s="22"/>
      <c r="N7" s="22"/>
      <c r="O7" s="22"/>
      <c r="P7" s="22"/>
      <c r="Q7" s="22"/>
      <c r="R7" s="23"/>
      <c r="S7" s="35" t="s">
        <v>15</v>
      </c>
      <c r="T7" s="36"/>
      <c r="U7" s="36"/>
      <c r="V7" s="36"/>
      <c r="W7" s="36"/>
      <c r="X7" s="36"/>
      <c r="Y7" s="36"/>
    </row>
    <row r="8" spans="1:25" x14ac:dyDescent="0.25">
      <c r="A8" s="15"/>
      <c r="B8" s="15"/>
      <c r="C8" s="38" t="s">
        <v>16</v>
      </c>
      <c r="D8" s="39"/>
      <c r="E8" s="40"/>
      <c r="F8" s="41"/>
      <c r="G8" s="42"/>
      <c r="H8" s="42"/>
      <c r="I8" s="42"/>
      <c r="J8" s="43"/>
      <c r="K8" s="21" t="s">
        <v>8</v>
      </c>
      <c r="L8" s="23"/>
      <c r="M8" s="31">
        <v>0.1</v>
      </c>
      <c r="N8" s="21" t="s">
        <v>9</v>
      </c>
      <c r="O8" s="23"/>
      <c r="P8" s="32" t="s">
        <v>17</v>
      </c>
      <c r="Q8" s="44" t="s">
        <v>11</v>
      </c>
      <c r="R8" s="34">
        <v>5</v>
      </c>
      <c r="S8" s="45"/>
      <c r="T8" s="46"/>
      <c r="U8" s="46"/>
      <c r="V8" s="46"/>
      <c r="W8" s="46"/>
      <c r="X8" s="46"/>
      <c r="Y8" s="46"/>
    </row>
    <row r="9" spans="1:25" x14ac:dyDescent="0.25">
      <c r="A9" s="47"/>
      <c r="B9" s="48"/>
      <c r="C9" s="48"/>
      <c r="D9" s="48"/>
      <c r="E9" s="48"/>
      <c r="F9" s="49" t="s">
        <v>18</v>
      </c>
      <c r="G9" s="50"/>
      <c r="H9" s="50"/>
      <c r="I9" s="50"/>
      <c r="J9" s="50"/>
      <c r="K9" s="50"/>
      <c r="L9" s="50"/>
      <c r="M9" s="50"/>
      <c r="N9" s="50"/>
      <c r="O9" s="50"/>
      <c r="P9" s="51" t="s">
        <v>19</v>
      </c>
      <c r="Q9" s="52"/>
      <c r="R9" s="52"/>
      <c r="S9" s="52"/>
      <c r="T9" s="52"/>
      <c r="U9" s="52"/>
      <c r="V9" s="52"/>
      <c r="W9" s="52"/>
      <c r="X9" s="52"/>
      <c r="Y9" s="52"/>
    </row>
    <row r="10" spans="1:25" x14ac:dyDescent="0.25">
      <c r="A10" s="53"/>
      <c r="B10" s="48"/>
      <c r="C10" s="48"/>
      <c r="D10" s="54" t="s">
        <v>20</v>
      </c>
      <c r="E10" s="54"/>
      <c r="F10" s="55"/>
      <c r="G10" s="56" t="s">
        <v>21</v>
      </c>
      <c r="H10" s="57"/>
      <c r="I10" s="58" t="s">
        <v>22</v>
      </c>
      <c r="J10" s="59"/>
      <c r="K10" s="60" t="s">
        <v>23</v>
      </c>
      <c r="L10" s="61"/>
      <c r="M10" s="58" t="s">
        <v>24</v>
      </c>
      <c r="N10" s="59"/>
      <c r="O10" s="62" t="s">
        <v>18</v>
      </c>
      <c r="P10" s="60" t="s">
        <v>25</v>
      </c>
      <c r="Q10" s="63"/>
      <c r="R10" s="61"/>
      <c r="S10" s="58" t="s">
        <v>26</v>
      </c>
      <c r="T10" s="64"/>
      <c r="U10" s="59"/>
      <c r="V10" s="60" t="s">
        <v>27</v>
      </c>
      <c r="W10" s="63"/>
      <c r="X10" s="61"/>
      <c r="Y10" s="65" t="s">
        <v>19</v>
      </c>
    </row>
    <row r="11" spans="1:25" x14ac:dyDescent="0.25">
      <c r="A11" s="66" t="s">
        <v>28</v>
      </c>
      <c r="B11" s="67" t="s">
        <v>29</v>
      </c>
      <c r="C11" s="66" t="s">
        <v>30</v>
      </c>
      <c r="D11" s="67" t="s">
        <v>31</v>
      </c>
      <c r="E11" s="67" t="s">
        <v>32</v>
      </c>
      <c r="F11" s="68" t="s">
        <v>33</v>
      </c>
      <c r="G11" s="67" t="s">
        <v>34</v>
      </c>
      <c r="H11" s="69" t="s">
        <v>35</v>
      </c>
      <c r="I11" s="67" t="s">
        <v>36</v>
      </c>
      <c r="J11" s="69" t="s">
        <v>35</v>
      </c>
      <c r="K11" s="67" t="s">
        <v>36</v>
      </c>
      <c r="L11" s="69" t="s">
        <v>35</v>
      </c>
      <c r="M11" s="67" t="s">
        <v>34</v>
      </c>
      <c r="N11" s="69" t="s">
        <v>35</v>
      </c>
      <c r="O11" s="70" t="s">
        <v>37</v>
      </c>
      <c r="P11" s="68" t="s">
        <v>33</v>
      </c>
      <c r="Q11" s="67" t="s">
        <v>36</v>
      </c>
      <c r="R11" s="69" t="s">
        <v>35</v>
      </c>
      <c r="S11" s="71" t="s">
        <v>33</v>
      </c>
      <c r="T11" s="67" t="s">
        <v>36</v>
      </c>
      <c r="U11" s="69" t="s">
        <v>35</v>
      </c>
      <c r="V11" s="71" t="s">
        <v>33</v>
      </c>
      <c r="W11" s="67" t="s">
        <v>34</v>
      </c>
      <c r="X11" s="69" t="s">
        <v>35</v>
      </c>
      <c r="Y11" s="70" t="s">
        <v>37</v>
      </c>
    </row>
    <row r="12" spans="1:25" x14ac:dyDescent="0.25">
      <c r="A12" s="72">
        <v>37323285</v>
      </c>
      <c r="B12" s="73" t="s">
        <v>38</v>
      </c>
      <c r="C12" s="74">
        <v>45855</v>
      </c>
      <c r="D12" s="75">
        <v>46220</v>
      </c>
      <c r="E12" s="48">
        <v>605514</v>
      </c>
      <c r="F12" s="76">
        <v>0.2</v>
      </c>
      <c r="G12" s="77">
        <v>0.09</v>
      </c>
      <c r="H12" s="78">
        <v>0.29000000000000004</v>
      </c>
      <c r="I12" s="77">
        <v>0.09</v>
      </c>
      <c r="J12" s="78">
        <v>0.29000000000000004</v>
      </c>
      <c r="K12" s="77">
        <v>-0.01</v>
      </c>
      <c r="L12" s="78">
        <v>0.21000000000000002</v>
      </c>
      <c r="M12" s="77">
        <v>-0.11</v>
      </c>
      <c r="N12" s="79">
        <v>0.31</v>
      </c>
      <c r="O12" s="53" t="str">
        <f>IF(OR(INDEX([1]Relação_Calibrações_Localização!$F$8:$F$259,MATCH(B12,[1]Relação_Calibrações_Localização!$B$8:$B$259,0))="PERDIDO",INDEX([1]Relação_Calibrações_Localização!F9:F259,MATCH(B12,[1]Relação_Calibrações_Localização!$B$8:$B$259,0))="NÃO LOCALIZADO"),"PERDIDO",
IF(OR(G12="",I12="",K12="",M12=""),"INDETERMINADO",IF(MAX(H12,J12,L12,N12)&lt;=0.5,"APROVADO","REPROVADO")))</f>
        <v>APROVADO</v>
      </c>
      <c r="P12" s="80">
        <v>0.4</v>
      </c>
      <c r="Q12" s="77">
        <v>2.8</v>
      </c>
      <c r="R12" s="79">
        <v>3.1999999999999997</v>
      </c>
      <c r="S12" s="81">
        <v>1</v>
      </c>
      <c r="T12" s="77">
        <v>0.3</v>
      </c>
      <c r="U12" s="79">
        <v>1.3</v>
      </c>
      <c r="V12" s="80">
        <v>1.5</v>
      </c>
      <c r="W12" s="77">
        <v>-0.4</v>
      </c>
      <c r="X12" s="79">
        <v>1.9</v>
      </c>
      <c r="Y12" s="82" t="str">
        <f>IF(OR(INDEX([1]Relação_Calibrações_Localização!$F$8:$F$259,MATCH(B12,[1]Relação_Calibrações_Localização!$B$8:$B$259,0))="PERDIDO",INDEX([1]Relação_Calibrações_Localização!F9:F259,MATCH(B12,[1]Relação_Calibrações_Localização!$B$8:$B$259,0))="NÃO LOCALIZADO"),"PERDIDO",
IF(OR(Q12="",T12="",W12=""),"INDETERMINADO",IF(MAX(R12,U12,X12)&lt;=5,"APROVADO","REPROVADO")))</f>
        <v>APROVADO</v>
      </c>
    </row>
    <row r="13" spans="1:25" x14ac:dyDescent="0.25">
      <c r="A13" s="72">
        <v>37323286</v>
      </c>
      <c r="B13" s="73" t="s">
        <v>39</v>
      </c>
      <c r="C13" s="74">
        <v>45855</v>
      </c>
      <c r="D13" s="75">
        <v>46220</v>
      </c>
      <c r="E13" s="48">
        <v>605477</v>
      </c>
      <c r="F13" s="76">
        <v>0.2</v>
      </c>
      <c r="G13" s="83">
        <v>-0.21</v>
      </c>
      <c r="H13" s="78">
        <v>0.41000000000000003</v>
      </c>
      <c r="I13" s="83">
        <v>-0.11</v>
      </c>
      <c r="J13" s="78">
        <v>0.31</v>
      </c>
      <c r="K13" s="83">
        <v>-0.11</v>
      </c>
      <c r="L13" s="78">
        <v>0.31</v>
      </c>
      <c r="M13" s="83">
        <v>0.09</v>
      </c>
      <c r="N13" s="79">
        <v>0.29000000000000004</v>
      </c>
      <c r="O13" s="53" t="str">
        <f>IF(OR(INDEX([1]Relação_Calibrações_Localização!$F$8:$F$259,MATCH(B13,[1]Relação_Calibrações_Localização!$B$8:$B$259,0))="PERDIDO",INDEX([1]Relação_Calibrações_Localização!F10:F260,MATCH(B13,[1]Relação_Calibrações_Localização!$B$8:$B$259,0))="NÃO LOCALIZADO"),"PERDIDO",
IF(OR(G13="",I13="",K13="",M13=""),"INDETERMINADO",IF(MAX(H13,J13,L13,N13)&lt;=0.5,"APROVADO","REPROVADO")))</f>
        <v>APROVADO</v>
      </c>
      <c r="P13" s="80">
        <v>0.4</v>
      </c>
      <c r="Q13" s="83">
        <v>3</v>
      </c>
      <c r="R13" s="79">
        <v>3.4</v>
      </c>
      <c r="S13" s="81">
        <v>1</v>
      </c>
      <c r="T13" s="83">
        <v>2.5</v>
      </c>
      <c r="U13" s="79">
        <v>3.5</v>
      </c>
      <c r="V13" s="80">
        <v>1.5</v>
      </c>
      <c r="W13" s="83">
        <v>2.9</v>
      </c>
      <c r="X13" s="79">
        <v>4.4000000000000004</v>
      </c>
      <c r="Y13" s="82" t="str">
        <f>IF(OR(INDEX([1]Relação_Calibrações_Localização!$F$8:$F$259,MATCH(B13,[1]Relação_Calibrações_Localização!$B$8:$B$259,0))="PERDIDO",INDEX([1]Relação_Calibrações_Localização!F10:F260,MATCH(B13,[1]Relação_Calibrações_Localização!$B$8:$B$259,0))="NÃO LOCALIZADO"),"PERDIDO",
IF(OR(Q13="",T13="",W13=""),"INDETERMINADO",IF(MAX(R13,U13,X13)&lt;=5,"APROVADO","REPROVADO")))</f>
        <v>APROVADO</v>
      </c>
    </row>
    <row r="14" spans="1:25" x14ac:dyDescent="0.25">
      <c r="A14" s="72">
        <v>37326170</v>
      </c>
      <c r="B14" s="73" t="s">
        <v>40</v>
      </c>
      <c r="C14" s="74">
        <v>45855</v>
      </c>
      <c r="D14" s="75">
        <v>46220</v>
      </c>
      <c r="E14" s="48">
        <v>605462</v>
      </c>
      <c r="F14" s="76">
        <v>0.2</v>
      </c>
      <c r="G14" s="83">
        <v>-0.11</v>
      </c>
      <c r="H14" s="78">
        <v>0.31</v>
      </c>
      <c r="I14" s="83">
        <v>-0.11</v>
      </c>
      <c r="J14" s="78">
        <v>0.31</v>
      </c>
      <c r="K14" s="83">
        <v>-0.01</v>
      </c>
      <c r="L14" s="78">
        <v>0.21000000000000002</v>
      </c>
      <c r="M14" s="83">
        <v>0.19</v>
      </c>
      <c r="N14" s="79">
        <v>0.39</v>
      </c>
      <c r="O14" s="53" t="str">
        <f>IF(OR(INDEX([1]Relação_Calibrações_Localização!$F$8:$F$259,MATCH(B14,[1]Relação_Calibrações_Localização!$B$8:$B$259,0))="PERDIDO",INDEX([1]Relação_Calibrações_Localização!F11:F261,MATCH(B14,[1]Relação_Calibrações_Localização!$B$8:$B$259,0))="NÃO LOCALIZADO"),"PERDIDO",
IF(OR(G14="",I14="",K14="",M14=""),"INDETERMINADO",IF(MAX(H14,J14,L14,N14)&lt;=0.5,"APROVADO","REPROVADO")))</f>
        <v>APROVADO</v>
      </c>
      <c r="P14" s="80">
        <v>0.4</v>
      </c>
      <c r="Q14" s="83">
        <v>2.8</v>
      </c>
      <c r="R14" s="79">
        <v>3.1999999999999997</v>
      </c>
      <c r="S14" s="81">
        <v>1</v>
      </c>
      <c r="T14" s="83">
        <v>0.5</v>
      </c>
      <c r="U14" s="79">
        <v>1.5</v>
      </c>
      <c r="V14" s="80">
        <v>1.5</v>
      </c>
      <c r="W14" s="83">
        <v>1.1000000000000001</v>
      </c>
      <c r="X14" s="79">
        <v>2.6</v>
      </c>
      <c r="Y14" s="82" t="str">
        <f>IF(OR(INDEX([1]Relação_Calibrações_Localização!$F$8:$F$259,MATCH(B14,[1]Relação_Calibrações_Localização!$B$8:$B$259,0))="PERDIDO",INDEX([1]Relação_Calibrações_Localização!F11:F261,MATCH(B14,[1]Relação_Calibrações_Localização!$B$8:$B$259,0))="NÃO LOCALIZADO"),"PERDIDO",
IF(OR(Q14="",T14="",W14=""),"INDETERMINADO",IF(MAX(R14,U14,X14)&lt;=5,"APROVADO","REPROVADO")))</f>
        <v>APROVADO</v>
      </c>
    </row>
    <row r="15" spans="1:25" x14ac:dyDescent="0.25">
      <c r="A15" s="72">
        <v>37326227</v>
      </c>
      <c r="B15" s="73" t="s">
        <v>41</v>
      </c>
      <c r="C15" s="74">
        <v>45855</v>
      </c>
      <c r="D15" s="75">
        <v>46220</v>
      </c>
      <c r="E15" s="48">
        <v>605420</v>
      </c>
      <c r="F15" s="76">
        <v>0.2</v>
      </c>
      <c r="G15" s="83">
        <v>-0.11</v>
      </c>
      <c r="H15" s="78">
        <v>0.31</v>
      </c>
      <c r="I15" s="83">
        <v>-0.01</v>
      </c>
      <c r="J15" s="78">
        <v>0.21000000000000002</v>
      </c>
      <c r="K15" s="83">
        <v>-0.01</v>
      </c>
      <c r="L15" s="78">
        <v>0.21000000000000002</v>
      </c>
      <c r="M15" s="83">
        <v>0.09</v>
      </c>
      <c r="N15" s="79">
        <v>0.29000000000000004</v>
      </c>
      <c r="O15" s="53" t="str">
        <f>IF(OR(INDEX([1]Relação_Calibrações_Localização!$F$8:$F$259,MATCH(B15,[1]Relação_Calibrações_Localização!$B$8:$B$259,0))="PERDIDO",INDEX([1]Relação_Calibrações_Localização!F13:F263,MATCH(B15,[1]Relação_Calibrações_Localização!$B$8:$B$259,0))="NÃO LOCALIZADO"),"PERDIDO",
IF(OR(G15="",I15="",K15="",M15=""),"INDETERMINADO",IF(MAX(H15,J15,L15,N15)&lt;=0.5,"APROVADO","REPROVADO")))</f>
        <v>APROVADO</v>
      </c>
      <c r="P15" s="80">
        <v>0.4</v>
      </c>
      <c r="Q15" s="83">
        <v>2.8</v>
      </c>
      <c r="R15" s="79">
        <v>3.1999999999999997</v>
      </c>
      <c r="S15" s="81">
        <v>1</v>
      </c>
      <c r="T15" s="83">
        <v>3.6</v>
      </c>
      <c r="U15" s="79">
        <v>4.5999999999999996</v>
      </c>
      <c r="V15" s="80">
        <v>1.5</v>
      </c>
      <c r="W15" s="83">
        <v>1.5</v>
      </c>
      <c r="X15" s="79">
        <v>3</v>
      </c>
      <c r="Y15" s="82" t="str">
        <f>IF(OR(INDEX([1]Relação_Calibrações_Localização!$F$8:$F$259,MATCH(B15,[1]Relação_Calibrações_Localização!$B$8:$B$259,0))="PERDIDO",INDEX([1]Relação_Calibrações_Localização!F13:F263,MATCH(B15,[1]Relação_Calibrações_Localização!$B$8:$B$259,0))="NÃO LOCALIZADO"),"PERDIDO",
IF(OR(Q15="",T15="",W15=""),"INDETERMINADO",IF(MAX(R15,U15,X15)&lt;=5,"APROVADO","REPROVADO")))</f>
        <v>APROVADO</v>
      </c>
    </row>
    <row r="16" spans="1:25" x14ac:dyDescent="0.25">
      <c r="A16" s="72">
        <v>37331967</v>
      </c>
      <c r="B16" s="73" t="s">
        <v>42</v>
      </c>
      <c r="C16" s="74">
        <v>45855</v>
      </c>
      <c r="D16" s="75">
        <v>46220</v>
      </c>
      <c r="E16" s="48">
        <v>605430</v>
      </c>
      <c r="F16" s="76">
        <v>0.2</v>
      </c>
      <c r="G16" s="83">
        <v>-0.21</v>
      </c>
      <c r="H16" s="78">
        <v>0.41000000000000003</v>
      </c>
      <c r="I16" s="83">
        <v>-0.21</v>
      </c>
      <c r="J16" s="78">
        <v>0.41000000000000003</v>
      </c>
      <c r="K16" s="83">
        <v>-0.11</v>
      </c>
      <c r="L16" s="78">
        <v>0.31</v>
      </c>
      <c r="M16" s="83">
        <v>-0.01</v>
      </c>
      <c r="N16" s="79">
        <v>0.21000000000000002</v>
      </c>
      <c r="O16" s="53" t="str">
        <f>IF(OR(INDEX([1]Relação_Calibrações_Localização!$F$8:$F$259,MATCH(B16,[1]Relação_Calibrações_Localização!$B$8:$B$259,0))="PERDIDO",INDEX([1]Relação_Calibrações_Localização!F14:F264,MATCH(B16,[1]Relação_Calibrações_Localização!$B$8:$B$259,0))="NÃO LOCALIZADO"),"PERDIDO",
IF(OR(G16="",I16="",K16="",M16=""),"INDETERMINADO",IF(MAX(H16,J16,L16,N16)&lt;=0.5,"APROVADO","REPROVADO")))</f>
        <v>APROVADO</v>
      </c>
      <c r="P16" s="80">
        <v>0.4</v>
      </c>
      <c r="Q16" s="83">
        <v>4.9000000000000004</v>
      </c>
      <c r="R16" s="79">
        <v>5.3000000000000007</v>
      </c>
      <c r="S16" s="81">
        <v>1</v>
      </c>
      <c r="T16" s="83">
        <v>4.2</v>
      </c>
      <c r="U16" s="79">
        <v>5.2</v>
      </c>
      <c r="V16" s="80">
        <v>1.5</v>
      </c>
      <c r="W16" s="83">
        <v>3.5</v>
      </c>
      <c r="X16" s="79">
        <v>5</v>
      </c>
      <c r="Y16" s="82" t="str">
        <f>IF(OR(INDEX([1]Relação_Calibrações_Localização!$F$8:$F$259,MATCH(B16,[1]Relação_Calibrações_Localização!$B$8:$B$259,0))="PERDIDO",INDEX([1]Relação_Calibrações_Localização!F14:F264,MATCH(B16,[1]Relação_Calibrações_Localização!$B$8:$B$259,0))="NÃO LOCALIZADO"),"PERDIDO",
IF(OR(Q16="",T16="",W16=""),"INDETERMINADO",IF(MAX(R16,U16,X16)&lt;=5,"APROVADO","REPROVADO")))</f>
        <v>REPROVADO</v>
      </c>
    </row>
    <row r="17" spans="1:25" x14ac:dyDescent="0.25">
      <c r="A17" s="72">
        <v>37331975</v>
      </c>
      <c r="B17" s="73" t="s">
        <v>43</v>
      </c>
      <c r="C17" s="74">
        <v>45855</v>
      </c>
      <c r="D17" s="75">
        <v>46220</v>
      </c>
      <c r="E17" s="48">
        <v>605444</v>
      </c>
      <c r="F17" s="76">
        <v>0.2</v>
      </c>
      <c r="G17" s="83">
        <v>-0.21</v>
      </c>
      <c r="H17" s="78">
        <v>0.41000000000000003</v>
      </c>
      <c r="I17" s="83">
        <v>-0.21</v>
      </c>
      <c r="J17" s="78">
        <v>0.41000000000000003</v>
      </c>
      <c r="K17" s="83">
        <v>-0.11</v>
      </c>
      <c r="L17" s="78">
        <v>0.31</v>
      </c>
      <c r="M17" s="83">
        <v>-0.01</v>
      </c>
      <c r="N17" s="79">
        <v>0.21000000000000002</v>
      </c>
      <c r="O17" s="53" t="str">
        <f>IF(OR(INDEX([1]Relação_Calibrações_Localização!$F$8:$F$259,MATCH(B17,[1]Relação_Calibrações_Localização!$B$8:$B$259,0))="PERDIDO",INDEX([1]Relação_Calibrações_Localização!F15:F265,MATCH(B17,[1]Relação_Calibrações_Localização!$B$8:$B$259,0))="NÃO LOCALIZADO"),"PERDIDO",
IF(OR(G17="",I17="",K17="",M17=""),"INDETERMINADO",IF(MAX(H17,J17,L17,N17)&lt;=0.5,"APROVADO","REPROVADO")))</f>
        <v>APROVADO</v>
      </c>
      <c r="P17" s="80">
        <v>0.4</v>
      </c>
      <c r="Q17" s="83">
        <v>3.6</v>
      </c>
      <c r="R17" s="79">
        <v>4</v>
      </c>
      <c r="S17" s="81">
        <v>1</v>
      </c>
      <c r="T17" s="83">
        <v>3.3</v>
      </c>
      <c r="U17" s="79">
        <v>4.3</v>
      </c>
      <c r="V17" s="80">
        <v>1.5</v>
      </c>
      <c r="W17" s="83">
        <v>1.9</v>
      </c>
      <c r="X17" s="79">
        <v>3.4</v>
      </c>
      <c r="Y17" s="82" t="str">
        <f>IF(OR(INDEX([1]Relação_Calibrações_Localização!$F$8:$F$259,MATCH(B17,[1]Relação_Calibrações_Localização!$B$8:$B$259,0))="PERDIDO",INDEX([1]Relação_Calibrações_Localização!F15:F265,MATCH(B17,[1]Relação_Calibrações_Localização!$B$8:$B$259,0))="NÃO LOCALIZADO"),"PERDIDO",
IF(OR(Q17="",T17="",W17=""),"INDETERMINADO",IF(MAX(R17,U17,X17)&lt;=5,"APROVADO","REPROVADO")))</f>
        <v>APROVADO</v>
      </c>
    </row>
    <row r="18" spans="1:25" x14ac:dyDescent="0.25">
      <c r="A18" s="72">
        <v>37332212</v>
      </c>
      <c r="B18" s="73" t="s">
        <v>44</v>
      </c>
      <c r="C18" s="74">
        <v>45855</v>
      </c>
      <c r="D18" s="75">
        <v>46220</v>
      </c>
      <c r="E18" s="48">
        <v>605481</v>
      </c>
      <c r="F18" s="76">
        <v>0.2</v>
      </c>
      <c r="G18" s="83">
        <v>-0.01</v>
      </c>
      <c r="H18" s="78">
        <v>0.21000000000000002</v>
      </c>
      <c r="I18" s="83">
        <v>0.09</v>
      </c>
      <c r="J18" s="78">
        <v>0.29000000000000004</v>
      </c>
      <c r="K18" s="83">
        <v>0.09</v>
      </c>
      <c r="L18" s="78">
        <v>0.29000000000000004</v>
      </c>
      <c r="M18" s="83">
        <v>0.19</v>
      </c>
      <c r="N18" s="79">
        <v>0.39</v>
      </c>
      <c r="O18" s="53" t="str">
        <f>IF(OR(INDEX([1]Relação_Calibrações_Localização!$F$8:$F$259,MATCH(B18,[1]Relação_Calibrações_Localização!$B$8:$B$259,0))="PERDIDO",INDEX([1]Relação_Calibrações_Localização!F18:F268,MATCH(B18,[1]Relação_Calibrações_Localização!$B$8:$B$259,0))="NÃO LOCALIZADO"),"PERDIDO",
IF(OR(G18="",I18="",K18="",M18=""),"INDETERMINADO",IF(MAX(H18,J18,L18,N18)&lt;=0.5,"APROVADO","REPROVADO")))</f>
        <v>APROVADO</v>
      </c>
      <c r="P18" s="80">
        <v>0.4</v>
      </c>
      <c r="Q18" s="83">
        <v>2</v>
      </c>
      <c r="R18" s="79">
        <v>2.4</v>
      </c>
      <c r="S18" s="81">
        <v>1</v>
      </c>
      <c r="T18" s="83">
        <v>1.8</v>
      </c>
      <c r="U18" s="79">
        <v>2.8</v>
      </c>
      <c r="V18" s="80">
        <v>1.5</v>
      </c>
      <c r="W18" s="83">
        <v>-0.5</v>
      </c>
      <c r="X18" s="79">
        <v>2</v>
      </c>
      <c r="Y18" s="82" t="str">
        <f>IF(OR(INDEX([1]Relação_Calibrações_Localização!$F$8:$F$259,MATCH(B18,[1]Relação_Calibrações_Localização!$B$8:$B$259,0))="PERDIDO",INDEX([1]Relação_Calibrações_Localização!F18:F268,MATCH(B18,[1]Relação_Calibrações_Localização!$B$8:$B$259,0))="NÃO LOCALIZADO"),"PERDIDO",
IF(OR(Q18="",T18="",W18=""),"INDETERMINADO",IF(MAX(R18,U18,X18)&lt;=5,"APROVADO","REPROVADO")))</f>
        <v>APROVADO</v>
      </c>
    </row>
    <row r="19" spans="1:25" x14ac:dyDescent="0.25">
      <c r="A19" s="72">
        <v>37332214</v>
      </c>
      <c r="B19" s="73" t="s">
        <v>45</v>
      </c>
      <c r="C19" s="74">
        <v>45855</v>
      </c>
      <c r="D19" s="75">
        <v>46220</v>
      </c>
      <c r="E19" s="48">
        <v>605529</v>
      </c>
      <c r="F19" s="76">
        <v>0.2</v>
      </c>
      <c r="G19" s="83">
        <v>0.09</v>
      </c>
      <c r="H19" s="78">
        <v>0.29000000000000004</v>
      </c>
      <c r="I19" s="83">
        <v>0.09</v>
      </c>
      <c r="J19" s="78">
        <v>0.29000000000000004</v>
      </c>
      <c r="K19" s="83">
        <v>-0.01</v>
      </c>
      <c r="L19" s="78">
        <v>0.21000000000000002</v>
      </c>
      <c r="M19" s="83">
        <v>-0.21</v>
      </c>
      <c r="N19" s="79">
        <v>0.41000000000000003</v>
      </c>
      <c r="O19" s="53" t="str">
        <f>IF(OR(INDEX([1]Relação_Calibrações_Localização!$F$8:$F$259,MATCH(B19,[1]Relação_Calibrações_Localização!$B$8:$B$259,0))="PERDIDO",INDEX([1]Relação_Calibrações_Localização!F19:F269,MATCH(B19,[1]Relação_Calibrações_Localização!$B$8:$B$259,0))="NÃO LOCALIZADO"),"PERDIDO",
IF(OR(G19="",I19="",K19="",M19=""),"INDETERMINADO",IF(MAX(H19,J19,L19,N19)&lt;=0.5,"APROVADO","REPROVADO")))</f>
        <v>APROVADO</v>
      </c>
      <c r="P19" s="80">
        <v>0.4</v>
      </c>
      <c r="Q19" s="83">
        <v>2.6</v>
      </c>
      <c r="R19" s="79">
        <v>3</v>
      </c>
      <c r="S19" s="81">
        <v>1</v>
      </c>
      <c r="T19" s="83">
        <v>2.2999999999999998</v>
      </c>
      <c r="U19" s="79">
        <v>3.3</v>
      </c>
      <c r="V19" s="80">
        <v>1.5</v>
      </c>
      <c r="W19" s="83">
        <v>1.2</v>
      </c>
      <c r="X19" s="79">
        <v>2.7</v>
      </c>
      <c r="Y19" s="82" t="str">
        <f>IF(OR(INDEX([1]Relação_Calibrações_Localização!$F$8:$F$259,MATCH(B19,[1]Relação_Calibrações_Localização!$B$8:$B$259,0))="PERDIDO",INDEX([1]Relação_Calibrações_Localização!F19:F269,MATCH(B19,[1]Relação_Calibrações_Localização!$B$8:$B$259,0))="NÃO LOCALIZADO"),"PERDIDO",
IF(OR(Q19="",T19="",W19=""),"INDETERMINADO",IF(MAX(R19,U19,X19)&lt;=5,"APROVADO","REPROVADO")))</f>
        <v>APROVADO</v>
      </c>
    </row>
    <row r="20" spans="1:25" x14ac:dyDescent="0.25">
      <c r="A20" s="72">
        <v>37332216</v>
      </c>
      <c r="B20" s="73" t="s">
        <v>46</v>
      </c>
      <c r="C20" s="74">
        <v>45855</v>
      </c>
      <c r="D20" s="75">
        <v>46220</v>
      </c>
      <c r="E20" s="48">
        <v>605432</v>
      </c>
      <c r="F20" s="76">
        <v>0.2</v>
      </c>
      <c r="G20" s="83">
        <v>0.19</v>
      </c>
      <c r="H20" s="78">
        <v>0.39</v>
      </c>
      <c r="I20" s="83">
        <v>0.19</v>
      </c>
      <c r="J20" s="78">
        <v>0.39</v>
      </c>
      <c r="K20" s="83">
        <v>0.09</v>
      </c>
      <c r="L20" s="78">
        <v>0.29000000000000004</v>
      </c>
      <c r="M20" s="83">
        <v>-0.01</v>
      </c>
      <c r="N20" s="79">
        <v>0.21000000000000002</v>
      </c>
      <c r="O20" s="53" t="s">
        <v>47</v>
      </c>
      <c r="P20" s="80">
        <v>0.4</v>
      </c>
      <c r="Q20" s="83">
        <v>3</v>
      </c>
      <c r="R20" s="79">
        <v>3.4</v>
      </c>
      <c r="S20" s="81">
        <v>1</v>
      </c>
      <c r="T20" s="83">
        <v>2.6</v>
      </c>
      <c r="U20" s="79">
        <v>3.6</v>
      </c>
      <c r="V20" s="80">
        <v>1.5</v>
      </c>
      <c r="W20" s="83">
        <v>0.2</v>
      </c>
      <c r="X20" s="79">
        <v>1.7</v>
      </c>
      <c r="Y20" s="82" t="str">
        <f>IF(OR(INDEX([1]Relação_Calibrações_Localização!$F$8:$F$259,MATCH(B20,[1]Relação_Calibrações_Localização!$B$8:$B$259,0))="PERDIDO",INDEX([1]Relação_Calibrações_Localização!F21:F271,MATCH(B20,[1]Relação_Calibrações_Localização!$B$8:$B$259,0))="NÃO LOCALIZADO"),"PERDIDO",
IF(OR(Q20="",T20="",W20=""),"INDETERMINADO",IF(MAX(R20,U20,X20)&lt;=5,"APROVADO","REPROVADO")))</f>
        <v>APROVADO</v>
      </c>
    </row>
    <row r="21" spans="1:25" x14ac:dyDescent="0.25">
      <c r="A21" s="72">
        <v>37332217</v>
      </c>
      <c r="B21" s="73" t="s">
        <v>48</v>
      </c>
      <c r="C21" s="74">
        <v>45855</v>
      </c>
      <c r="D21" s="75">
        <v>46220</v>
      </c>
      <c r="E21" s="48">
        <v>605422</v>
      </c>
      <c r="F21" s="76">
        <v>0.2</v>
      </c>
      <c r="G21" s="83">
        <v>-0.21</v>
      </c>
      <c r="H21" s="78">
        <v>0.41000000000000003</v>
      </c>
      <c r="I21" s="83">
        <v>-0.11</v>
      </c>
      <c r="J21" s="78">
        <v>0.31</v>
      </c>
      <c r="K21" s="83">
        <v>-0.11</v>
      </c>
      <c r="L21" s="78">
        <v>0.31</v>
      </c>
      <c r="M21" s="83">
        <v>0.09</v>
      </c>
      <c r="N21" s="79">
        <v>0.29000000000000004</v>
      </c>
      <c r="O21" s="53" t="str">
        <f>IF(OR(INDEX([1]Relação_Calibrações_Localização!$F$8:$F$259,MATCH(B21,[1]Relação_Calibrações_Localização!$B$8:$B$259,0))="PERDIDO",INDEX([1]Relação_Calibrações_Localização!F22:F272,MATCH(B21,[1]Relação_Calibrações_Localização!$B$8:$B$259,0))="NÃO LOCALIZADO"),"PERDIDO",
IF(OR(G21="",I21="",K21="",M21=""),"INDETERMINADO",IF(MAX(H21,J21,L21,N21)&lt;=0.5,"APROVADO","REPROVADO")))</f>
        <v>APROVADO</v>
      </c>
      <c r="P21" s="80">
        <v>0.4</v>
      </c>
      <c r="Q21" s="83">
        <v>3.9</v>
      </c>
      <c r="R21" s="79">
        <v>4.3</v>
      </c>
      <c r="S21" s="81">
        <v>1</v>
      </c>
      <c r="T21" s="83">
        <v>3.3</v>
      </c>
      <c r="U21" s="79">
        <v>4.3</v>
      </c>
      <c r="V21" s="80">
        <v>1.5</v>
      </c>
      <c r="W21" s="83">
        <v>1.5</v>
      </c>
      <c r="X21" s="79">
        <v>3</v>
      </c>
      <c r="Y21" s="82" t="str">
        <f>IF(OR(INDEX([1]Relação_Calibrações_Localização!$F$8:$F$259,MATCH(B21,[1]Relação_Calibrações_Localização!$B$8:$B$259,0))="PERDIDO",INDEX([1]Relação_Calibrações_Localização!F22:F272,MATCH(B21,[1]Relação_Calibrações_Localização!$B$8:$B$259,0))="NÃO LOCALIZADO"),"PERDIDO",
IF(OR(Q21="",T21="",W21=""),"INDETERMINADO",IF(MAX(R21,U21,X21)&lt;=5,"APROVADO","REPROVADO")))</f>
        <v>APROVADO</v>
      </c>
    </row>
    <row r="22" spans="1:25" x14ac:dyDescent="0.25">
      <c r="A22" s="72">
        <v>37332224</v>
      </c>
      <c r="B22" s="73" t="s">
        <v>49</v>
      </c>
      <c r="C22" s="74">
        <v>45855</v>
      </c>
      <c r="D22" s="75">
        <v>46220</v>
      </c>
      <c r="E22" s="48">
        <v>605499</v>
      </c>
      <c r="F22" s="76">
        <v>0.2</v>
      </c>
      <c r="G22" s="83">
        <v>0.09</v>
      </c>
      <c r="H22" s="78">
        <v>0.29000000000000004</v>
      </c>
      <c r="I22" s="83">
        <v>0.09</v>
      </c>
      <c r="J22" s="78">
        <v>0.29000000000000004</v>
      </c>
      <c r="K22" s="83">
        <v>0.09</v>
      </c>
      <c r="L22" s="78">
        <v>0.29000000000000004</v>
      </c>
      <c r="M22" s="83">
        <v>0.19</v>
      </c>
      <c r="N22" s="79">
        <v>0.39</v>
      </c>
      <c r="O22" s="53" t="str">
        <f>IF(OR(INDEX([1]Relação_Calibrações_Localização!$F$8:$F$259,MATCH(B22,[1]Relação_Calibrações_Localização!$B$8:$B$259,0))="PERDIDO",INDEX([1]Relação_Calibrações_Localização!F24:F274,MATCH(B22,[1]Relação_Calibrações_Localização!$B$8:$B$259,0))="NÃO LOCALIZADO"),"PERDIDO",
IF(OR(G22="",I22="",K22="",M22=""),"INDETERMINADO",IF(MAX(H22,J22,L22,N22)&lt;=0.5,"APROVADO","REPROVADO")))</f>
        <v>APROVADO</v>
      </c>
      <c r="P22" s="80">
        <v>0.4</v>
      </c>
      <c r="Q22" s="83">
        <v>2.6</v>
      </c>
      <c r="R22" s="79">
        <v>3</v>
      </c>
      <c r="S22" s="81">
        <v>1</v>
      </c>
      <c r="T22" s="83">
        <v>2.5</v>
      </c>
      <c r="U22" s="79">
        <v>3.5</v>
      </c>
      <c r="V22" s="80">
        <v>1.5</v>
      </c>
      <c r="W22" s="83">
        <v>0.9</v>
      </c>
      <c r="X22" s="79">
        <v>2.4</v>
      </c>
      <c r="Y22" s="82" t="str">
        <f>IF(OR(INDEX([1]Relação_Calibrações_Localização!$F$8:$F$259,MATCH(B22,[1]Relação_Calibrações_Localização!$B$8:$B$259,0))="PERDIDO",INDEX([1]Relação_Calibrações_Localização!F24:F274,MATCH(B22,[1]Relação_Calibrações_Localização!$B$8:$B$259,0))="NÃO LOCALIZADO"),"PERDIDO",
IF(OR(Q22="",T22="",W22=""),"INDETERMINADO",IF(MAX(R22,U22,X22)&lt;=5,"APROVADO","REPROVADO")))</f>
        <v>APROVADO</v>
      </c>
    </row>
    <row r="23" spans="1:25" x14ac:dyDescent="0.25">
      <c r="A23" s="72">
        <v>37332227</v>
      </c>
      <c r="B23" s="73" t="s">
        <v>50</v>
      </c>
      <c r="C23" s="74">
        <v>45855</v>
      </c>
      <c r="D23" s="75">
        <v>46220</v>
      </c>
      <c r="E23" s="48">
        <v>605440</v>
      </c>
      <c r="F23" s="76">
        <v>0.2</v>
      </c>
      <c r="G23" s="83">
        <v>-0.21</v>
      </c>
      <c r="H23" s="78">
        <v>0.41000000000000003</v>
      </c>
      <c r="I23" s="83">
        <v>0.09</v>
      </c>
      <c r="J23" s="78">
        <v>0.29000000000000004</v>
      </c>
      <c r="K23" s="83">
        <v>0.09</v>
      </c>
      <c r="L23" s="78">
        <v>0.29000000000000004</v>
      </c>
      <c r="M23" s="83">
        <v>-0.11</v>
      </c>
      <c r="N23" s="79">
        <v>0.31</v>
      </c>
      <c r="O23" s="53" t="str">
        <f>IF(OR(INDEX([1]Relação_Calibrações_Localização!$F$8:$F$259,MATCH(B23,[1]Relação_Calibrações_Localização!$B$8:$B$259,0))="PERDIDO",INDEX([1]Relação_Calibrações_Localização!F25:F275,MATCH(B23,[1]Relação_Calibrações_Localização!$B$8:$B$259,0))="NÃO LOCALIZADO"),"PERDIDO",
IF(OR(G23="",I23="",K23="",M23=""),"INDETERMINADO",IF(MAX(H23,J23,L23,N23)&lt;=0.5,"APROVADO","REPROVADO")))</f>
        <v>APROVADO</v>
      </c>
      <c r="P23" s="80">
        <v>0.4</v>
      </c>
      <c r="Q23" s="83">
        <v>3.6</v>
      </c>
      <c r="R23" s="79">
        <v>4</v>
      </c>
      <c r="S23" s="81">
        <v>1</v>
      </c>
      <c r="T23" s="83">
        <v>3.7</v>
      </c>
      <c r="U23" s="79">
        <v>4.7</v>
      </c>
      <c r="V23" s="80">
        <v>1.5</v>
      </c>
      <c r="W23" s="83">
        <v>2.6</v>
      </c>
      <c r="X23" s="79">
        <v>4.0999999999999996</v>
      </c>
      <c r="Y23" s="82" t="str">
        <f>IF(OR(INDEX([1]Relação_Calibrações_Localização!$F$8:$F$259,MATCH(B23,[1]Relação_Calibrações_Localização!$B$8:$B$259,0))="PERDIDO",INDEX([1]Relação_Calibrações_Localização!F25:F275,MATCH(B23,[1]Relação_Calibrações_Localização!$B$8:$B$259,0))="NÃO LOCALIZADO"),"PERDIDO",
IF(OR(Q23="",T23="",W23=""),"INDETERMINADO",IF(MAX(R23,U23,X23)&lt;=5,"APROVADO","REPROVADO")))</f>
        <v>APROVADO</v>
      </c>
    </row>
    <row r="24" spans="1:25" x14ac:dyDescent="0.25">
      <c r="A24" s="72">
        <v>37332230</v>
      </c>
      <c r="B24" s="73" t="s">
        <v>51</v>
      </c>
      <c r="C24" s="74">
        <v>45855</v>
      </c>
      <c r="D24" s="75">
        <v>46220</v>
      </c>
      <c r="E24" s="48">
        <v>605474</v>
      </c>
      <c r="F24" s="76">
        <v>0.2</v>
      </c>
      <c r="G24" s="83">
        <v>-0.21</v>
      </c>
      <c r="H24" s="78">
        <v>0.41000000000000003</v>
      </c>
      <c r="I24" s="83">
        <v>-0.21</v>
      </c>
      <c r="J24" s="78">
        <v>0.41000000000000003</v>
      </c>
      <c r="K24" s="83">
        <v>-0.01</v>
      </c>
      <c r="L24" s="78">
        <v>0.21000000000000002</v>
      </c>
      <c r="M24" s="83">
        <v>-0.01</v>
      </c>
      <c r="N24" s="79">
        <v>0.21000000000000002</v>
      </c>
      <c r="O24" s="53" t="str">
        <f>IF(OR(INDEX([1]Relação_Calibrações_Localização!$F$8:$F$259,MATCH(B24,[1]Relação_Calibrações_Localização!$B$8:$B$259,0))="PERDIDO",INDEX([1]Relação_Calibrações_Localização!F28:F278,MATCH(B24,[1]Relação_Calibrações_Localização!$B$8:$B$259,0))="NÃO LOCALIZADO"),"PERDIDO",
IF(OR(G24="",I24="",K24="",M24=""),"INDETERMINADO",IF(MAX(H24,J24,L24,N24)&lt;=0.5,"APROVADO","REPROVADO")))</f>
        <v>APROVADO</v>
      </c>
      <c r="P24" s="80">
        <v>0.4</v>
      </c>
      <c r="Q24" s="83">
        <v>3.8</v>
      </c>
      <c r="R24" s="79">
        <v>4.2</v>
      </c>
      <c r="S24" s="81">
        <v>1</v>
      </c>
      <c r="T24" s="83">
        <v>3.7</v>
      </c>
      <c r="U24" s="79">
        <v>4.7</v>
      </c>
      <c r="V24" s="80">
        <v>1.5</v>
      </c>
      <c r="W24" s="83">
        <v>1.3</v>
      </c>
      <c r="X24" s="79">
        <v>2.8</v>
      </c>
      <c r="Y24" s="82" t="str">
        <f>IF(OR(INDEX([1]Relação_Calibrações_Localização!$F$8:$F$259,MATCH(B24,[1]Relação_Calibrações_Localização!$B$8:$B$259,0))="PERDIDO",INDEX([1]Relação_Calibrações_Localização!F28:F278,MATCH(B24,[1]Relação_Calibrações_Localização!$B$8:$B$259,0))="NÃO LOCALIZADO"),"PERDIDO",
IF(OR(Q24="",T24="",W24=""),"INDETERMINADO",IF(MAX(R24,U24,X24)&lt;=5,"APROVADO","REPROVADO")))</f>
        <v>APROVADO</v>
      </c>
    </row>
    <row r="25" spans="1:25" x14ac:dyDescent="0.25">
      <c r="A25" s="72">
        <v>37332232</v>
      </c>
      <c r="B25" s="73" t="s">
        <v>52</v>
      </c>
      <c r="C25" s="74">
        <v>45855</v>
      </c>
      <c r="D25" s="75">
        <v>46220</v>
      </c>
      <c r="E25" s="48">
        <v>605497</v>
      </c>
      <c r="F25" s="76">
        <v>0.2</v>
      </c>
      <c r="G25" s="83">
        <v>-0.11</v>
      </c>
      <c r="H25" s="78">
        <v>0.31</v>
      </c>
      <c r="I25" s="83">
        <v>-0.11</v>
      </c>
      <c r="J25" s="78">
        <v>0.31</v>
      </c>
      <c r="K25" s="83">
        <v>-0.21</v>
      </c>
      <c r="L25" s="78">
        <v>0.41000000000000003</v>
      </c>
      <c r="M25" s="83">
        <v>-0.21</v>
      </c>
      <c r="N25" s="79">
        <v>0.41000000000000003</v>
      </c>
      <c r="O25" s="53" t="str">
        <f>IF(OR(INDEX([1]Relação_Calibrações_Localização!$F$8:$F$259,MATCH(B25,[1]Relação_Calibrações_Localização!$B$8:$B$259,0))="PERDIDO",INDEX([1]Relação_Calibrações_Localização!F29:F279,MATCH(B25,[1]Relação_Calibrações_Localização!$B$8:$B$259,0))="NÃO LOCALIZADO"),"PERDIDO",
IF(OR(G25="",I25="",K25="",M25=""),"INDETERMINADO",IF(MAX(H25,J25,L25,N25)&lt;=0.5,"APROVADO","REPROVADO")))</f>
        <v>APROVADO</v>
      </c>
      <c r="P25" s="80">
        <v>0.4</v>
      </c>
      <c r="Q25" s="83">
        <v>3.7</v>
      </c>
      <c r="R25" s="79">
        <v>4.1000000000000005</v>
      </c>
      <c r="S25" s="81">
        <v>1</v>
      </c>
      <c r="T25" s="83">
        <v>3.3</v>
      </c>
      <c r="U25" s="79">
        <v>4.3</v>
      </c>
      <c r="V25" s="80">
        <v>1.5</v>
      </c>
      <c r="W25" s="83">
        <v>1.8</v>
      </c>
      <c r="X25" s="79">
        <v>3.3</v>
      </c>
      <c r="Y25" s="82" t="str">
        <f>IF(OR(INDEX([1]Relação_Calibrações_Localização!$F$8:$F$259,MATCH(B25,[1]Relação_Calibrações_Localização!$B$8:$B$259,0))="PERDIDO",INDEX([1]Relação_Calibrações_Localização!F29:F279,MATCH(B25,[1]Relação_Calibrações_Localização!$B$8:$B$259,0))="NÃO LOCALIZADO"),"PERDIDO",
IF(OR(Q25="",T25="",W25=""),"INDETERMINADO",IF(MAX(R25,U25,X25)&lt;=5,"APROVADO","REPROVADO")))</f>
        <v>APROVADO</v>
      </c>
    </row>
    <row r="26" spans="1:25" x14ac:dyDescent="0.25">
      <c r="A26" s="72">
        <v>37332240</v>
      </c>
      <c r="B26" s="73" t="s">
        <v>53</v>
      </c>
      <c r="C26" s="74">
        <v>45855</v>
      </c>
      <c r="D26" s="75">
        <v>46220</v>
      </c>
      <c r="E26" s="48">
        <v>605473</v>
      </c>
      <c r="F26" s="76">
        <v>0.2</v>
      </c>
      <c r="G26" s="83">
        <v>-0.21</v>
      </c>
      <c r="H26" s="78">
        <v>0.41000000000000003</v>
      </c>
      <c r="I26" s="83">
        <v>-0.11</v>
      </c>
      <c r="J26" s="78">
        <v>0.31</v>
      </c>
      <c r="K26" s="83">
        <v>-0.01</v>
      </c>
      <c r="L26" s="78">
        <v>0.21000000000000002</v>
      </c>
      <c r="M26" s="83">
        <v>0.09</v>
      </c>
      <c r="N26" s="79">
        <v>0.29000000000000004</v>
      </c>
      <c r="O26" s="53" t="str">
        <f>IF(OR(INDEX([1]Relação_Calibrações_Localização!$F$8:$F$259,MATCH(B26,[1]Relação_Calibrações_Localização!$B$8:$B$259,0))="PERDIDO",INDEX([1]Relação_Calibrações_Localização!F31:F281,MATCH(B26,[1]Relação_Calibrações_Localização!$B$8:$B$259,0))="NÃO LOCALIZADO"),"PERDIDO",
IF(OR(G26="",I26="",K26="",M26=""),"INDETERMINADO",IF(MAX(H26,J26,L26,N26)&lt;=0.5,"APROVADO","REPROVADO")))</f>
        <v>APROVADO</v>
      </c>
      <c r="P26" s="80">
        <v>0.4</v>
      </c>
      <c r="Q26" s="83">
        <v>4</v>
      </c>
      <c r="R26" s="79">
        <v>4.4000000000000004</v>
      </c>
      <c r="S26" s="81">
        <v>1</v>
      </c>
      <c r="T26" s="83">
        <v>3.8</v>
      </c>
      <c r="U26" s="79">
        <v>4.8</v>
      </c>
      <c r="V26" s="80">
        <v>1.5</v>
      </c>
      <c r="W26" s="83">
        <v>2.4</v>
      </c>
      <c r="X26" s="79">
        <v>3.9</v>
      </c>
      <c r="Y26" s="82" t="str">
        <f>IF(OR(INDEX([1]Relação_Calibrações_Localização!$F$8:$F$259,MATCH(B26,[1]Relação_Calibrações_Localização!$B$8:$B$259,0))="PERDIDO",INDEX([1]Relação_Calibrações_Localização!F31:F281,MATCH(B26,[1]Relação_Calibrações_Localização!$B$8:$B$259,0))="NÃO LOCALIZADO"),"PERDIDO",
IF(OR(Q26="",T26="",W26=""),"INDETERMINADO",IF(MAX(R26,U26,X26)&lt;=5,"APROVADO","REPROVADO")))</f>
        <v>APROVADO</v>
      </c>
    </row>
    <row r="27" spans="1:25" x14ac:dyDescent="0.25">
      <c r="A27" s="72">
        <v>37332243</v>
      </c>
      <c r="B27" s="73" t="s">
        <v>54</v>
      </c>
      <c r="C27" s="74">
        <v>45855</v>
      </c>
      <c r="D27" s="75">
        <v>46220</v>
      </c>
      <c r="E27" s="48">
        <v>605511</v>
      </c>
      <c r="F27" s="76">
        <v>0.2</v>
      </c>
      <c r="G27" s="83">
        <v>-0.11</v>
      </c>
      <c r="H27" s="78">
        <v>0.31</v>
      </c>
      <c r="I27" s="83">
        <v>-0.01</v>
      </c>
      <c r="J27" s="78">
        <v>0.21000000000000002</v>
      </c>
      <c r="K27" s="83">
        <v>0.09</v>
      </c>
      <c r="L27" s="78">
        <v>0.29000000000000004</v>
      </c>
      <c r="M27" s="83">
        <v>0.19</v>
      </c>
      <c r="N27" s="79">
        <v>0.39</v>
      </c>
      <c r="O27" s="53" t="str">
        <f>IF(OR(INDEX([1]Relação_Calibrações_Localização!$F$8:$F$259,MATCH(B27,[1]Relação_Calibrações_Localização!$B$8:$B$259,0))="PERDIDO",INDEX([1]Relação_Calibrações_Localização!F33:F283,MATCH(B27,[1]Relação_Calibrações_Localização!$B$8:$B$259,0))="NÃO LOCALIZADO"),"PERDIDO",
IF(OR(G27="",I27="",K27="",M27=""),"INDETERMINADO",IF(MAX(H27,J27,L27,N27)&lt;=0.5,"APROVADO","REPROVADO")))</f>
        <v>APROVADO</v>
      </c>
      <c r="P27" s="80">
        <v>0.4</v>
      </c>
      <c r="Q27" s="83">
        <v>3.2</v>
      </c>
      <c r="R27" s="79">
        <v>3.6</v>
      </c>
      <c r="S27" s="81">
        <v>1</v>
      </c>
      <c r="T27" s="83">
        <v>2.8</v>
      </c>
      <c r="U27" s="79">
        <v>3.8</v>
      </c>
      <c r="V27" s="80">
        <v>1.5</v>
      </c>
      <c r="W27" s="83">
        <v>2.2999999999999998</v>
      </c>
      <c r="X27" s="79">
        <v>3.8</v>
      </c>
      <c r="Y27" s="82" t="str">
        <f>IF(OR(INDEX([1]Relação_Calibrações_Localização!$F$8:$F$259,MATCH(B27,[1]Relação_Calibrações_Localização!$B$8:$B$259,0))="PERDIDO",INDEX([1]Relação_Calibrações_Localização!F33:F283,MATCH(B27,[1]Relação_Calibrações_Localização!$B$8:$B$259,0))="NÃO LOCALIZADO"),"PERDIDO",
IF(OR(Q27="",T27="",W27=""),"INDETERMINADO",IF(MAX(R27,U27,X27)&lt;=5,"APROVADO","REPROVADO")))</f>
        <v>APROVADO</v>
      </c>
    </row>
    <row r="28" spans="1:25" x14ac:dyDescent="0.25">
      <c r="A28" s="72">
        <v>37332270</v>
      </c>
      <c r="B28" s="73" t="s">
        <v>55</v>
      </c>
      <c r="C28" s="74">
        <v>45855</v>
      </c>
      <c r="D28" s="75">
        <v>46220</v>
      </c>
      <c r="E28" s="48">
        <v>605456</v>
      </c>
      <c r="F28" s="76">
        <v>0.2</v>
      </c>
      <c r="G28" s="83">
        <v>-0.01</v>
      </c>
      <c r="H28" s="78">
        <v>0.21000000000000002</v>
      </c>
      <c r="I28" s="83">
        <v>-0.01</v>
      </c>
      <c r="J28" s="78">
        <v>0.21000000000000002</v>
      </c>
      <c r="K28" s="83">
        <v>0.09</v>
      </c>
      <c r="L28" s="78">
        <v>0.29000000000000004</v>
      </c>
      <c r="M28" s="83">
        <v>0.19</v>
      </c>
      <c r="N28" s="79">
        <v>0.39</v>
      </c>
      <c r="O28" s="53" t="str">
        <f>IF(OR(INDEX([1]Relação_Calibrações_Localização!$F$8:$F$259,MATCH(B28,[1]Relação_Calibrações_Localização!$B$8:$B$259,0))="PERDIDO",INDEX([1]Relação_Calibrações_Localização!F34:F284,MATCH(B28,[1]Relação_Calibrações_Localização!$B$8:$B$259,0))="NÃO LOCALIZADO"),"PERDIDO",
IF(OR(G28="",I28="",K28="",M28=""),"INDETERMINADO",IF(MAX(H28,J28,L28,N28)&lt;=0.5,"APROVADO","REPROVADO")))</f>
        <v>APROVADO</v>
      </c>
      <c r="P28" s="80">
        <v>0.4</v>
      </c>
      <c r="Q28" s="83">
        <v>3.5</v>
      </c>
      <c r="R28" s="79">
        <v>3.9</v>
      </c>
      <c r="S28" s="81">
        <v>1</v>
      </c>
      <c r="T28" s="83">
        <v>3</v>
      </c>
      <c r="U28" s="79">
        <v>4</v>
      </c>
      <c r="V28" s="80">
        <v>1.5</v>
      </c>
      <c r="W28" s="83">
        <v>1.3</v>
      </c>
      <c r="X28" s="79">
        <v>2.8</v>
      </c>
      <c r="Y28" s="82" t="str">
        <f>IF(OR(INDEX([1]Relação_Calibrações_Localização!$F$8:$F$259,MATCH(B28,[1]Relação_Calibrações_Localização!$B$8:$B$259,0))="PERDIDO",INDEX([1]Relação_Calibrações_Localização!F34:F284,MATCH(B28,[1]Relação_Calibrações_Localização!$B$8:$B$259,0))="NÃO LOCALIZADO"),"PERDIDO",
IF(OR(Q28="",T28="",W28=""),"INDETERMINADO",IF(MAX(R28,U28,X28)&lt;=5,"APROVADO","REPROVADO")))</f>
        <v>APROVADO</v>
      </c>
    </row>
    <row r="29" spans="1:25" x14ac:dyDescent="0.25">
      <c r="A29" s="72">
        <v>37332283</v>
      </c>
      <c r="B29" s="73" t="s">
        <v>56</v>
      </c>
      <c r="C29" s="74">
        <v>45855</v>
      </c>
      <c r="D29" s="75">
        <v>46220</v>
      </c>
      <c r="E29" s="48">
        <v>605471</v>
      </c>
      <c r="F29" s="76">
        <v>0.2</v>
      </c>
      <c r="G29" s="83">
        <v>0.09</v>
      </c>
      <c r="H29" s="78">
        <v>0.29000000000000004</v>
      </c>
      <c r="I29" s="83">
        <v>-0.01</v>
      </c>
      <c r="J29" s="78">
        <v>0.21000000000000002</v>
      </c>
      <c r="K29" s="83">
        <v>-0.11</v>
      </c>
      <c r="L29" s="78">
        <v>0.31</v>
      </c>
      <c r="M29" s="83">
        <v>-0.21</v>
      </c>
      <c r="N29" s="79">
        <v>0.41000000000000003</v>
      </c>
      <c r="O29" s="53" t="str">
        <f>IF(OR(INDEX([1]Relação_Calibrações_Localização!$F$8:$F$259,MATCH(B29,[1]Relação_Calibrações_Localização!$B$8:$B$259,0))="PERDIDO",INDEX([1]Relação_Calibrações_Localização!F37:F287,MATCH(B29,[1]Relação_Calibrações_Localização!$B$8:$B$259,0))="NÃO LOCALIZADO"),"PERDIDO",
IF(OR(G29="",I29="",K29="",M29=""),"INDETERMINADO",IF(MAX(H29,J29,L29,N29)&lt;=0.5,"APROVADO","REPROVADO")))</f>
        <v>APROVADO</v>
      </c>
      <c r="P29" s="80">
        <v>0.4</v>
      </c>
      <c r="Q29" s="83">
        <v>3.2</v>
      </c>
      <c r="R29" s="79">
        <v>3.6</v>
      </c>
      <c r="S29" s="81">
        <v>1</v>
      </c>
      <c r="T29" s="83">
        <v>2.8</v>
      </c>
      <c r="U29" s="79">
        <v>3.8</v>
      </c>
      <c r="V29" s="80">
        <v>1.5</v>
      </c>
      <c r="W29" s="83">
        <v>2</v>
      </c>
      <c r="X29" s="79">
        <v>3.5</v>
      </c>
      <c r="Y29" s="82" t="str">
        <f>IF(OR(INDEX([1]Relação_Calibrações_Localização!$F$8:$F$259,MATCH(B29,[1]Relação_Calibrações_Localização!$B$8:$B$259,0))="PERDIDO",INDEX([1]Relação_Calibrações_Localização!F37:F287,MATCH(B29,[1]Relação_Calibrações_Localização!$B$8:$B$259,0))="NÃO LOCALIZADO"),"PERDIDO",
IF(OR(Q29="",T29="",W29=""),"INDETERMINADO",IF(MAX(R29,U29,X29)&lt;=5,"APROVADO","REPROVADO")))</f>
        <v>APROVADO</v>
      </c>
    </row>
    <row r="30" spans="1:25" x14ac:dyDescent="0.25">
      <c r="A30" s="72" t="s">
        <v>57</v>
      </c>
      <c r="B30" s="73" t="s">
        <v>58</v>
      </c>
      <c r="C30" s="74">
        <v>45855</v>
      </c>
      <c r="D30" s="75">
        <v>46220</v>
      </c>
      <c r="E30" s="48">
        <v>605460</v>
      </c>
      <c r="F30" s="76">
        <v>0.2</v>
      </c>
      <c r="G30" s="83">
        <v>0.09</v>
      </c>
      <c r="H30" s="78">
        <v>0.29000000000000004</v>
      </c>
      <c r="I30" s="83">
        <v>0.09</v>
      </c>
      <c r="J30" s="78">
        <v>0.29000000000000004</v>
      </c>
      <c r="K30" s="83">
        <v>-0.11</v>
      </c>
      <c r="L30" s="78">
        <v>0.31</v>
      </c>
      <c r="M30" s="83">
        <v>-0.21</v>
      </c>
      <c r="N30" s="79">
        <v>0.41000000000000003</v>
      </c>
      <c r="O30" s="53" t="s">
        <v>47</v>
      </c>
      <c r="P30" s="80">
        <v>0.4</v>
      </c>
      <c r="Q30" s="83">
        <v>3.2</v>
      </c>
      <c r="R30" s="79">
        <v>3.6</v>
      </c>
      <c r="S30" s="81">
        <v>1</v>
      </c>
      <c r="T30" s="83">
        <v>2.7</v>
      </c>
      <c r="U30" s="79">
        <v>3.7</v>
      </c>
      <c r="V30" s="80">
        <v>1.5</v>
      </c>
      <c r="W30" s="83">
        <v>0.3</v>
      </c>
      <c r="X30" s="79">
        <v>1.8</v>
      </c>
      <c r="Y30" s="82" t="str">
        <f>IF(OR(INDEX([1]Relação_Calibrações_Localização!$F$8:$F$259,MATCH(B30,[1]Relação_Calibrações_Localização!$B$8:$B$259,0))="PERDIDO",INDEX([1]Relação_Calibrações_Localização!F39:F289,MATCH(B30,[1]Relação_Calibrações_Localização!$B$8:$B$259,0))="NÃO LOCALIZADO"),"PERDIDO",
IF(OR(Q30="",T30="",W30=""),"INDETERMINADO",IF(MAX(R30,U30,X30)&lt;=5,"APROVADO","REPROVADO")))</f>
        <v>APROVADO</v>
      </c>
    </row>
    <row r="31" spans="1:25" x14ac:dyDescent="0.25">
      <c r="A31" s="72">
        <v>37332465</v>
      </c>
      <c r="B31" s="73" t="s">
        <v>59</v>
      </c>
      <c r="C31" s="74">
        <v>45855</v>
      </c>
      <c r="D31" s="75">
        <v>46220</v>
      </c>
      <c r="E31" s="48">
        <v>605510</v>
      </c>
      <c r="F31" s="76">
        <v>0.2</v>
      </c>
      <c r="G31" s="83">
        <v>0.09</v>
      </c>
      <c r="H31" s="78">
        <v>0.29000000000000004</v>
      </c>
      <c r="I31" s="83">
        <v>-0.11</v>
      </c>
      <c r="J31" s="78">
        <v>0.31</v>
      </c>
      <c r="K31" s="83">
        <v>-0.11</v>
      </c>
      <c r="L31" s="78">
        <v>0.31</v>
      </c>
      <c r="M31" s="83">
        <v>-0.21</v>
      </c>
      <c r="N31" s="79">
        <v>0.41000000000000003</v>
      </c>
      <c r="O31" s="53" t="str">
        <f>IF(OR(INDEX([1]Relação_Calibrações_Localização!$F$8:$F$259,MATCH(B31,[1]Relação_Calibrações_Localização!$B$8:$B$259,0))="PERDIDO",INDEX([1]Relação_Calibrações_Localização!F42:F292,MATCH(B31,[1]Relação_Calibrações_Localização!$B$8:$B$259,0))="NÃO LOCALIZADO"),"PERDIDO",
IF(OR(G31="",I31="",K31="",M31=""),"INDETERMINADO",IF(MAX(H31,J31,L31,N31)&lt;=0.5,"APROVADO","REPROVADO")))</f>
        <v>APROVADO</v>
      </c>
      <c r="P31" s="80">
        <v>0.4</v>
      </c>
      <c r="Q31" s="83">
        <v>1.7</v>
      </c>
      <c r="R31" s="79">
        <v>2.1</v>
      </c>
      <c r="S31" s="81">
        <v>1</v>
      </c>
      <c r="T31" s="83">
        <v>0.5</v>
      </c>
      <c r="U31" s="79">
        <v>1.5</v>
      </c>
      <c r="V31" s="80">
        <v>1.5</v>
      </c>
      <c r="W31" s="83">
        <v>-0.6</v>
      </c>
      <c r="X31" s="79">
        <v>2.1</v>
      </c>
      <c r="Y31" s="82" t="str">
        <f>IF(OR(INDEX([1]Relação_Calibrações_Localização!$F$8:$F$259,MATCH(B31,[1]Relação_Calibrações_Localização!$B$8:$B$259,0))="PERDIDO",INDEX([1]Relação_Calibrações_Localização!F42:F292,MATCH(B31,[1]Relação_Calibrações_Localização!$B$8:$B$259,0))="NÃO LOCALIZADO"),"PERDIDO",
IF(OR(Q31="",T31="",W31=""),"INDETERMINADO",IF(MAX(R31,U31,X31)&lt;=5,"APROVADO","REPROVADO")))</f>
        <v>APROVADO</v>
      </c>
    </row>
    <row r="32" spans="1:25" x14ac:dyDescent="0.25">
      <c r="A32" s="72">
        <v>37332470</v>
      </c>
      <c r="B32" s="73" t="s">
        <v>60</v>
      </c>
      <c r="C32" s="74">
        <v>45855</v>
      </c>
      <c r="D32" s="75">
        <v>46220</v>
      </c>
      <c r="E32" s="48">
        <v>605425</v>
      </c>
      <c r="F32" s="76">
        <v>0.2</v>
      </c>
      <c r="G32" s="83">
        <v>-0.21</v>
      </c>
      <c r="H32" s="78">
        <v>0.41000000000000003</v>
      </c>
      <c r="I32" s="83">
        <v>-0.11</v>
      </c>
      <c r="J32" s="78">
        <v>0.31</v>
      </c>
      <c r="K32" s="83">
        <v>-0.11</v>
      </c>
      <c r="L32" s="78">
        <v>0.31</v>
      </c>
      <c r="M32" s="83">
        <v>0.09</v>
      </c>
      <c r="N32" s="79">
        <v>0.29000000000000004</v>
      </c>
      <c r="O32" s="53" t="str">
        <f>IF(OR(INDEX([1]Relação_Calibrações_Localização!$F$8:$F$259,MATCH(B32,[1]Relação_Calibrações_Localização!$B$8:$B$259,0))="PERDIDO",INDEX([1]Relação_Calibrações_Localização!F44:F294,MATCH(B32,[1]Relação_Calibrações_Localização!$B$8:$B$259,0))="NÃO LOCALIZADO"),"PERDIDO",
IF(OR(G32="",I32="",K32="",M32=""),"INDETERMINADO",IF(MAX(H32,J32,L32,N32)&lt;=0.5,"APROVADO","REPROVADO")))</f>
        <v>APROVADO</v>
      </c>
      <c r="P32" s="80">
        <v>0.4</v>
      </c>
      <c r="Q32" s="83">
        <v>3.3</v>
      </c>
      <c r="R32" s="79">
        <v>3.6999999999999997</v>
      </c>
      <c r="S32" s="81">
        <v>1</v>
      </c>
      <c r="T32" s="83">
        <v>2</v>
      </c>
      <c r="U32" s="79">
        <v>3</v>
      </c>
      <c r="V32" s="80">
        <v>1.5</v>
      </c>
      <c r="W32" s="83">
        <v>1.3</v>
      </c>
      <c r="X32" s="79">
        <v>2.8</v>
      </c>
      <c r="Y32" s="82" t="str">
        <f>IF(OR(INDEX([1]Relação_Calibrações_Localização!$F$8:$F$259,MATCH(B32,[1]Relação_Calibrações_Localização!$B$8:$B$259,0))="PERDIDO",INDEX([1]Relação_Calibrações_Localização!F44:F294,MATCH(B32,[1]Relação_Calibrações_Localização!$B$8:$B$259,0))="NÃO LOCALIZADO"),"PERDIDO",
IF(OR(Q32="",T32="",W32=""),"INDETERMINADO",IF(MAX(R32,U32,X32)&lt;=5,"APROVADO","REPROVADO")))</f>
        <v>APROVADO</v>
      </c>
    </row>
    <row r="33" spans="1:25" x14ac:dyDescent="0.25">
      <c r="A33" s="72">
        <v>37332476</v>
      </c>
      <c r="B33" s="73" t="s">
        <v>61</v>
      </c>
      <c r="C33" s="74">
        <v>45855</v>
      </c>
      <c r="D33" s="75">
        <v>46220</v>
      </c>
      <c r="E33" s="48">
        <v>605550</v>
      </c>
      <c r="F33" s="76">
        <v>0.2</v>
      </c>
      <c r="G33" s="83">
        <v>-0.21</v>
      </c>
      <c r="H33" s="78">
        <v>0.41000000000000003</v>
      </c>
      <c r="I33" s="83">
        <v>-0.01</v>
      </c>
      <c r="J33" s="78">
        <v>0.21000000000000002</v>
      </c>
      <c r="K33" s="83">
        <v>-0.01</v>
      </c>
      <c r="L33" s="78">
        <v>0.21000000000000002</v>
      </c>
      <c r="M33" s="83">
        <v>0.09</v>
      </c>
      <c r="N33" s="79">
        <v>0.29000000000000004</v>
      </c>
      <c r="O33" s="53" t="str">
        <f>IF(OR(INDEX([1]Relação_Calibrações_Localização!$F$8:$F$259,MATCH(B33,[1]Relação_Calibrações_Localização!$B$8:$B$259,0))="PERDIDO",INDEX([1]Relação_Calibrações_Localização!F46:F296,MATCH(B33,[1]Relação_Calibrações_Localização!$B$8:$B$259,0))="NÃO LOCALIZADO"),"PERDIDO",
IF(OR(G33="",I33="",K33="",M33=""),"INDETERMINADO",IF(MAX(H33,J33,L33,N33)&lt;=0.5,"APROVADO","REPROVADO")))</f>
        <v>APROVADO</v>
      </c>
      <c r="P33" s="80">
        <v>0.4</v>
      </c>
      <c r="Q33" s="83">
        <v>2.2000000000000002</v>
      </c>
      <c r="R33" s="79">
        <v>2.6</v>
      </c>
      <c r="S33" s="81">
        <v>1</v>
      </c>
      <c r="T33" s="83">
        <v>0</v>
      </c>
      <c r="U33" s="79">
        <v>1</v>
      </c>
      <c r="V33" s="80">
        <v>1.5</v>
      </c>
      <c r="W33" s="83">
        <v>-0.3</v>
      </c>
      <c r="X33" s="79">
        <v>1.8</v>
      </c>
      <c r="Y33" s="82" t="str">
        <f>IF(OR(INDEX([1]Relação_Calibrações_Localização!$F$8:$F$259,MATCH(B33,[1]Relação_Calibrações_Localização!$B$8:$B$259,0))="PERDIDO",INDEX([1]Relação_Calibrações_Localização!F46:F296,MATCH(B33,[1]Relação_Calibrações_Localização!$B$8:$B$259,0))="NÃO LOCALIZADO"),"PERDIDO",
IF(OR(Q33="",T33="",W33=""),"INDETERMINADO",IF(MAX(R33,U33,X33)&lt;=5,"APROVADO","REPROVADO")))</f>
        <v>APROVADO</v>
      </c>
    </row>
    <row r="34" spans="1:25" x14ac:dyDescent="0.25">
      <c r="A34" s="72">
        <v>37332477</v>
      </c>
      <c r="B34" s="73" t="s">
        <v>62</v>
      </c>
      <c r="C34" s="74">
        <v>45855</v>
      </c>
      <c r="D34" s="75">
        <v>46220</v>
      </c>
      <c r="E34" s="48">
        <v>605493</v>
      </c>
      <c r="F34" s="76">
        <v>0.2</v>
      </c>
      <c r="G34" s="83">
        <v>-0.11</v>
      </c>
      <c r="H34" s="78">
        <v>0.31</v>
      </c>
      <c r="I34" s="83">
        <v>-0.11</v>
      </c>
      <c r="J34" s="78">
        <v>0.31</v>
      </c>
      <c r="K34" s="83">
        <v>-0.01</v>
      </c>
      <c r="L34" s="78">
        <v>0.21000000000000002</v>
      </c>
      <c r="M34" s="83">
        <v>0.19</v>
      </c>
      <c r="N34" s="79">
        <v>0.39</v>
      </c>
      <c r="O34" s="53" t="str">
        <f>IF(OR(INDEX([1]Relação_Calibrações_Localização!$F$8:$F$259,MATCH(B34,[1]Relação_Calibrações_Localização!$B$8:$B$259,0))="PERDIDO",INDEX([1]Relação_Calibrações_Localização!F47:F297,MATCH(B34,[1]Relação_Calibrações_Localização!$B$8:$B$259,0))="NÃO LOCALIZADO"),"PERDIDO",
IF(OR(G34="",I34="",K34="",M34=""),"INDETERMINADO",IF(MAX(H34,J34,L34,N34)&lt;=0.5,"APROVADO","REPROVADO")))</f>
        <v>APROVADO</v>
      </c>
      <c r="P34" s="80">
        <v>0.4</v>
      </c>
      <c r="Q34" s="83">
        <v>3.7</v>
      </c>
      <c r="R34" s="79">
        <v>4.1000000000000005</v>
      </c>
      <c r="S34" s="81">
        <v>1</v>
      </c>
      <c r="T34" s="83">
        <v>3.6</v>
      </c>
      <c r="U34" s="79">
        <v>4.5999999999999996</v>
      </c>
      <c r="V34" s="80">
        <v>1.5</v>
      </c>
      <c r="W34" s="83">
        <v>3.3</v>
      </c>
      <c r="X34" s="79">
        <v>4.8</v>
      </c>
      <c r="Y34" s="82" t="str">
        <f>IF(OR(INDEX([1]Relação_Calibrações_Localização!$F$8:$F$259,MATCH(B34,[1]Relação_Calibrações_Localização!$B$8:$B$259,0))="PERDIDO",INDEX([1]Relação_Calibrações_Localização!F47:F297,MATCH(B34,[1]Relação_Calibrações_Localização!$B$8:$B$259,0))="NÃO LOCALIZADO"),"PERDIDO",
IF(OR(Q34="",T34="",W34=""),"INDETERMINADO",IF(MAX(R34,U34,X34)&lt;=5,"APROVADO","REPROVADO")))</f>
        <v>APROVADO</v>
      </c>
    </row>
    <row r="35" spans="1:25" x14ac:dyDescent="0.25">
      <c r="A35" s="72">
        <v>37332478</v>
      </c>
      <c r="B35" s="73" t="s">
        <v>63</v>
      </c>
      <c r="C35" s="74">
        <v>45855</v>
      </c>
      <c r="D35" s="75">
        <v>46220</v>
      </c>
      <c r="E35" s="48">
        <v>605435</v>
      </c>
      <c r="F35" s="76">
        <v>0.2</v>
      </c>
      <c r="G35" s="83">
        <v>-0.11</v>
      </c>
      <c r="H35" s="78">
        <v>0.31</v>
      </c>
      <c r="I35" s="83">
        <v>-0.01</v>
      </c>
      <c r="J35" s="78">
        <v>0.21000000000000002</v>
      </c>
      <c r="K35" s="83">
        <v>0.09</v>
      </c>
      <c r="L35" s="78">
        <v>0.29000000000000004</v>
      </c>
      <c r="M35" s="83">
        <v>0.19</v>
      </c>
      <c r="N35" s="79">
        <v>0.39</v>
      </c>
      <c r="O35" s="53" t="str">
        <f>IF(OR(INDEX([1]Relação_Calibrações_Localização!$F$8:$F$259,MATCH(B35,[1]Relação_Calibrações_Localização!$B$8:$B$259,0))="PERDIDO",INDEX([1]Relação_Calibrações_Localização!F48:F298,MATCH(B35,[1]Relação_Calibrações_Localização!$B$8:$B$259,0))="NÃO LOCALIZADO"),"PERDIDO",
IF(OR(G35="",I35="",K35="",M35=""),"INDETERMINADO",IF(MAX(H35,J35,L35,N35)&lt;=0.5,"APROVADO","REPROVADO")))</f>
        <v>APROVADO</v>
      </c>
      <c r="P35" s="80">
        <v>0.4</v>
      </c>
      <c r="Q35" s="83">
        <v>3.4</v>
      </c>
      <c r="R35" s="79">
        <v>3.8</v>
      </c>
      <c r="S35" s="81">
        <v>1</v>
      </c>
      <c r="T35" s="83">
        <v>3.3</v>
      </c>
      <c r="U35" s="79">
        <v>4.3</v>
      </c>
      <c r="V35" s="80">
        <v>1.5</v>
      </c>
      <c r="W35" s="83">
        <v>1.5</v>
      </c>
      <c r="X35" s="79">
        <v>3</v>
      </c>
      <c r="Y35" s="82" t="str">
        <f>IF(OR(INDEX([1]Relação_Calibrações_Localização!$F$8:$F$259,MATCH(B35,[1]Relação_Calibrações_Localização!$B$8:$B$259,0))="PERDIDO",INDEX([1]Relação_Calibrações_Localização!F48:F298,MATCH(B35,[1]Relação_Calibrações_Localização!$B$8:$B$259,0))="NÃO LOCALIZADO"),"PERDIDO",
IF(OR(Q35="",T35="",W35=""),"INDETERMINADO",IF(MAX(R35,U35,X35)&lt;=5,"APROVADO","REPROVADO")))</f>
        <v>APROVADO</v>
      </c>
    </row>
    <row r="36" spans="1:25" x14ac:dyDescent="0.25">
      <c r="A36" s="72">
        <v>37332492</v>
      </c>
      <c r="B36" s="73" t="s">
        <v>64</v>
      </c>
      <c r="C36" s="74">
        <v>45855</v>
      </c>
      <c r="D36" s="75">
        <v>46220</v>
      </c>
      <c r="E36" s="48">
        <v>605429</v>
      </c>
      <c r="F36" s="76">
        <v>0.2</v>
      </c>
      <c r="G36" s="83">
        <v>-0.11</v>
      </c>
      <c r="H36" s="78">
        <v>0.31</v>
      </c>
      <c r="I36" s="83">
        <v>-0.01</v>
      </c>
      <c r="J36" s="78">
        <v>0.21000000000000002</v>
      </c>
      <c r="K36" s="83">
        <v>0.09</v>
      </c>
      <c r="L36" s="78">
        <v>0.29000000000000004</v>
      </c>
      <c r="M36" s="83">
        <v>0.09</v>
      </c>
      <c r="N36" s="79">
        <v>0.29000000000000004</v>
      </c>
      <c r="O36" s="53" t="str">
        <f>IF(OR(INDEX([1]Relação_Calibrações_Localização!$F$8:$F$259,MATCH(B36,[1]Relação_Calibrações_Localização!$B$8:$B$259,0))="PERDIDO",INDEX([1]Relação_Calibrações_Localização!F51:F301,MATCH(B36,[1]Relação_Calibrações_Localização!$B$8:$B$259,0))="NÃO LOCALIZADO"),"PERDIDO",
IF(OR(G36="",I36="",K36="",M36=""),"INDETERMINADO",IF(MAX(H36,J36,L36,N36)&lt;=0.5,"APROVADO","REPROVADO")))</f>
        <v>APROVADO</v>
      </c>
      <c r="P36" s="80">
        <v>0.4</v>
      </c>
      <c r="Q36" s="83">
        <v>3.8</v>
      </c>
      <c r="R36" s="79">
        <v>4.2</v>
      </c>
      <c r="S36" s="81">
        <v>1</v>
      </c>
      <c r="T36" s="83">
        <v>3.6</v>
      </c>
      <c r="U36" s="79">
        <v>4.5999999999999996</v>
      </c>
      <c r="V36" s="80">
        <v>1.5</v>
      </c>
      <c r="W36" s="83">
        <v>3.4</v>
      </c>
      <c r="X36" s="79">
        <v>4.9000000000000004</v>
      </c>
      <c r="Y36" s="82" t="str">
        <f>IF(OR(INDEX([1]Relação_Calibrações_Localização!$F$8:$F$259,MATCH(B36,[1]Relação_Calibrações_Localização!$B$8:$B$259,0))="PERDIDO",INDEX([1]Relação_Calibrações_Localização!F51:F301,MATCH(B36,[1]Relação_Calibrações_Localização!$B$8:$B$259,0))="NÃO LOCALIZADO"),"PERDIDO",
IF(OR(Q36="",T36="",W36=""),"INDETERMINADO",IF(MAX(R36,U36,X36)&lt;=5,"APROVADO","REPROVADO")))</f>
        <v>APROVADO</v>
      </c>
    </row>
    <row r="37" spans="1:25" x14ac:dyDescent="0.25">
      <c r="A37" s="72">
        <v>37332723</v>
      </c>
      <c r="B37" s="73" t="s">
        <v>65</v>
      </c>
      <c r="C37" s="74">
        <v>45855</v>
      </c>
      <c r="D37" s="75">
        <v>46220</v>
      </c>
      <c r="E37" s="48">
        <v>605547</v>
      </c>
      <c r="F37" s="76">
        <v>0.2</v>
      </c>
      <c r="G37" s="83">
        <v>-0.21</v>
      </c>
      <c r="H37" s="78">
        <v>0.41000000000000003</v>
      </c>
      <c r="I37" s="83">
        <v>-0.11</v>
      </c>
      <c r="J37" s="78">
        <v>0.31</v>
      </c>
      <c r="K37" s="83">
        <v>-0.11</v>
      </c>
      <c r="L37" s="78">
        <v>0.31</v>
      </c>
      <c r="M37" s="83">
        <v>-0.01</v>
      </c>
      <c r="N37" s="79">
        <v>0.21000000000000002</v>
      </c>
      <c r="O37" s="53" t="str">
        <f>IF(OR(INDEX([1]Relação_Calibrações_Localização!$F$8:$F$259,MATCH(B37,[1]Relação_Calibrações_Localização!$B$8:$B$259,0))="PERDIDO",INDEX([1]Relação_Calibrações_Localização!F52:F302,MATCH(B37,[1]Relação_Calibrações_Localização!$B$8:$B$259,0))="NÃO LOCALIZADO"),"PERDIDO",
IF(OR(G37="",I37="",K37="",M37=""),"INDETERMINADO",IF(MAX(H37,J37,L37,N37)&lt;=0.5,"APROVADO","REPROVADO")))</f>
        <v>APROVADO</v>
      </c>
      <c r="P37" s="80">
        <v>0.4</v>
      </c>
      <c r="Q37" s="83">
        <v>2.8</v>
      </c>
      <c r="R37" s="79">
        <v>3.1999999999999997</v>
      </c>
      <c r="S37" s="81">
        <v>1</v>
      </c>
      <c r="T37" s="83">
        <v>2.1</v>
      </c>
      <c r="U37" s="79">
        <v>3.1</v>
      </c>
      <c r="V37" s="80">
        <v>1.5</v>
      </c>
      <c r="W37" s="83">
        <v>2.1</v>
      </c>
      <c r="X37" s="79">
        <v>3.6</v>
      </c>
      <c r="Y37" s="82" t="str">
        <f>IF(OR(INDEX([1]Relação_Calibrações_Localização!$F$8:$F$259,MATCH(B37,[1]Relação_Calibrações_Localização!$B$8:$B$259,0))="PERDIDO",INDEX([1]Relação_Calibrações_Localização!F52:F302,MATCH(B37,[1]Relação_Calibrações_Localização!$B$8:$B$259,0))="NÃO LOCALIZADO"),"PERDIDO",
IF(OR(Q37="",T37="",W37=""),"INDETERMINADO",IF(MAX(R37,U37,X37)&lt;=5,"APROVADO","REPROVADO")))</f>
        <v>APROVADO</v>
      </c>
    </row>
    <row r="38" spans="1:25" x14ac:dyDescent="0.25">
      <c r="A38" s="72">
        <v>37333128</v>
      </c>
      <c r="B38" s="73" t="s">
        <v>66</v>
      </c>
      <c r="C38" s="74">
        <v>45855</v>
      </c>
      <c r="D38" s="75">
        <v>46220</v>
      </c>
      <c r="E38" s="48">
        <v>605466</v>
      </c>
      <c r="F38" s="76">
        <v>0.2</v>
      </c>
      <c r="G38" s="83">
        <v>-0.21</v>
      </c>
      <c r="H38" s="78">
        <v>0.41000000000000003</v>
      </c>
      <c r="I38" s="83">
        <v>-0.11</v>
      </c>
      <c r="J38" s="78">
        <v>0.31</v>
      </c>
      <c r="K38" s="83">
        <v>0.09</v>
      </c>
      <c r="L38" s="78">
        <v>0.29000000000000004</v>
      </c>
      <c r="M38" s="83">
        <v>0.09</v>
      </c>
      <c r="N38" s="79">
        <v>0.29000000000000004</v>
      </c>
      <c r="O38" s="53" t="str">
        <f>IF(OR(INDEX([1]Relação_Calibrações_Localização!$F$8:$F$259,MATCH(B38,[1]Relação_Calibrações_Localização!$B$8:$B$259,0))="PERDIDO",INDEX([1]Relação_Calibrações_Localização!F54:F304,MATCH(B38,[1]Relação_Calibrações_Localização!$B$8:$B$259,0))="NÃO LOCALIZADO"),"PERDIDO",
IF(OR(G38="",I38="",K38="",M38=""),"INDETERMINADO",IF(MAX(H38,J38,L38,N38)&lt;=0.5,"APROVADO","REPROVADO")))</f>
        <v>APROVADO</v>
      </c>
      <c r="P38" s="80">
        <v>0.4</v>
      </c>
      <c r="Q38" s="83">
        <v>3.6</v>
      </c>
      <c r="R38" s="79">
        <v>4</v>
      </c>
      <c r="S38" s="81">
        <v>1</v>
      </c>
      <c r="T38" s="83">
        <v>3.6</v>
      </c>
      <c r="U38" s="79">
        <v>4.5999999999999996</v>
      </c>
      <c r="V38" s="80">
        <v>1.5</v>
      </c>
      <c r="W38" s="83">
        <v>1.4</v>
      </c>
      <c r="X38" s="79">
        <v>2.9</v>
      </c>
      <c r="Y38" s="82" t="str">
        <f>IF(OR(INDEX([1]Relação_Calibrações_Localização!$F$8:$F$259,MATCH(B38,[1]Relação_Calibrações_Localização!$B$8:$B$259,0))="PERDIDO",INDEX([1]Relação_Calibrações_Localização!F54:F304,MATCH(B38,[1]Relação_Calibrações_Localização!$B$8:$B$259,0))="NÃO LOCALIZADO"),"PERDIDO",
IF(OR(Q38="",T38="",W38=""),"INDETERMINADO",IF(MAX(R38,U38,X38)&lt;=5,"APROVADO","REPROVADO")))</f>
        <v>APROVADO</v>
      </c>
    </row>
    <row r="39" spans="1:25" x14ac:dyDescent="0.25">
      <c r="A39" s="72">
        <v>37333129</v>
      </c>
      <c r="B39" s="73" t="s">
        <v>67</v>
      </c>
      <c r="C39" s="74">
        <v>45855</v>
      </c>
      <c r="D39" s="75">
        <v>46220</v>
      </c>
      <c r="E39" s="48">
        <v>605556</v>
      </c>
      <c r="F39" s="76">
        <v>0.2</v>
      </c>
      <c r="G39" s="83">
        <v>0.28999999999999998</v>
      </c>
      <c r="H39" s="78">
        <v>0.49</v>
      </c>
      <c r="I39" s="83">
        <v>0.19</v>
      </c>
      <c r="J39" s="78">
        <v>0.39</v>
      </c>
      <c r="K39" s="83">
        <v>0.19</v>
      </c>
      <c r="L39" s="78">
        <v>0.39</v>
      </c>
      <c r="M39" s="83">
        <v>0.09</v>
      </c>
      <c r="N39" s="79">
        <v>0.29000000000000004</v>
      </c>
      <c r="O39" s="53" t="str">
        <f>IF(OR(INDEX([1]Relação_Calibrações_Localização!$F$8:$F$259,MATCH(B39,[1]Relação_Calibrações_Localização!$B$8:$B$259,0))="PERDIDO",INDEX([1]Relação_Calibrações_Localização!F55:F305,MATCH(B39,[1]Relação_Calibrações_Localização!$B$8:$B$259,0))="NÃO LOCALIZADO"),"PERDIDO",
IF(OR(G39="",I39="",K39="",M39=""),"INDETERMINADO",IF(MAX(H39,J39,L39,N39)&lt;=0.5,"APROVADO","REPROVADO")))</f>
        <v>APROVADO</v>
      </c>
      <c r="P39" s="80">
        <v>0.4</v>
      </c>
      <c r="Q39" s="83">
        <v>3.1</v>
      </c>
      <c r="R39" s="79">
        <v>3.5</v>
      </c>
      <c r="S39" s="81">
        <v>1</v>
      </c>
      <c r="T39" s="83">
        <v>2.2999999999999998</v>
      </c>
      <c r="U39" s="79">
        <v>3.3</v>
      </c>
      <c r="V39" s="80">
        <v>1.5</v>
      </c>
      <c r="W39" s="83">
        <v>1.5</v>
      </c>
      <c r="X39" s="79">
        <v>3</v>
      </c>
      <c r="Y39" s="82" t="str">
        <f>IF(OR(INDEX([1]Relação_Calibrações_Localização!$F$8:$F$259,MATCH(B39,[1]Relação_Calibrações_Localização!$B$8:$B$259,0))="PERDIDO",INDEX([1]Relação_Calibrações_Localização!F55:F305,MATCH(B39,[1]Relação_Calibrações_Localização!$B$8:$B$259,0))="NÃO LOCALIZADO"),"PERDIDO",
IF(OR(Q39="",T39="",W39=""),"INDETERMINADO",IF(MAX(R39,U39,X39)&lt;=5,"APROVADO","REPROVADO")))</f>
        <v>APROVADO</v>
      </c>
    </row>
    <row r="40" spans="1:25" x14ac:dyDescent="0.25">
      <c r="A40" s="72">
        <v>37333131</v>
      </c>
      <c r="B40" s="73" t="s">
        <v>68</v>
      </c>
      <c r="C40" s="74">
        <v>45855</v>
      </c>
      <c r="D40" s="75">
        <v>46220</v>
      </c>
      <c r="E40" s="48">
        <v>605518</v>
      </c>
      <c r="F40" s="76">
        <v>0.2</v>
      </c>
      <c r="G40" s="83">
        <v>0.28999999999999998</v>
      </c>
      <c r="H40" s="78">
        <v>0.49</v>
      </c>
      <c r="I40" s="83">
        <v>0.19</v>
      </c>
      <c r="J40" s="78">
        <v>0.39</v>
      </c>
      <c r="K40" s="83">
        <v>0.19</v>
      </c>
      <c r="L40" s="78">
        <v>0.39</v>
      </c>
      <c r="M40" s="83">
        <v>-0.01</v>
      </c>
      <c r="N40" s="79">
        <v>0.21000000000000002</v>
      </c>
      <c r="O40" s="53" t="str">
        <f>IF(OR(INDEX([1]Relação_Calibrações_Localização!$F$8:$F$259,MATCH(B40,[1]Relação_Calibrações_Localização!$B$8:$B$259,0))="PERDIDO",INDEX([1]Relação_Calibrações_Localização!F56:F306,MATCH(B40,[1]Relação_Calibrações_Localização!$B$8:$B$259,0))="NÃO LOCALIZADO"),"PERDIDO",
IF(OR(G40="",I40="",K40="",M40=""),"INDETERMINADO",IF(MAX(H40,J40,L40,N40)&lt;=0.5,"APROVADO","REPROVADO")))</f>
        <v>APROVADO</v>
      </c>
      <c r="P40" s="80">
        <v>0.4</v>
      </c>
      <c r="Q40" s="83">
        <v>2.8</v>
      </c>
      <c r="R40" s="79">
        <v>3.1999999999999997</v>
      </c>
      <c r="S40" s="81">
        <v>1</v>
      </c>
      <c r="T40" s="83">
        <v>-0.6</v>
      </c>
      <c r="U40" s="79">
        <v>1.6</v>
      </c>
      <c r="V40" s="80">
        <v>1.5</v>
      </c>
      <c r="W40" s="83">
        <v>1.7</v>
      </c>
      <c r="X40" s="79">
        <v>3.2</v>
      </c>
      <c r="Y40" s="82" t="str">
        <f>IF(OR(INDEX([1]Relação_Calibrações_Localização!$F$8:$F$259,MATCH(B40,[1]Relação_Calibrações_Localização!$B$8:$B$259,0))="PERDIDO",INDEX([1]Relação_Calibrações_Localização!F56:F306,MATCH(B40,[1]Relação_Calibrações_Localização!$B$8:$B$259,0))="NÃO LOCALIZADO"),"PERDIDO",
IF(OR(Q40="",T40="",W40=""),"INDETERMINADO",IF(MAX(R40,U40,X40)&lt;=5,"APROVADO","REPROVADO")))</f>
        <v>APROVADO</v>
      </c>
    </row>
    <row r="41" spans="1:25" x14ac:dyDescent="0.25">
      <c r="A41" s="72">
        <v>37333137</v>
      </c>
      <c r="B41" s="73" t="s">
        <v>69</v>
      </c>
      <c r="C41" s="74">
        <v>45855</v>
      </c>
      <c r="D41" s="75">
        <v>46220</v>
      </c>
      <c r="E41" s="48">
        <v>605523</v>
      </c>
      <c r="F41" s="76">
        <v>0.2</v>
      </c>
      <c r="G41" s="83">
        <v>0.09</v>
      </c>
      <c r="H41" s="78">
        <v>0.29000000000000004</v>
      </c>
      <c r="I41" s="83">
        <v>-0.01</v>
      </c>
      <c r="J41" s="78">
        <v>0.21000000000000002</v>
      </c>
      <c r="K41" s="83">
        <v>-0.01</v>
      </c>
      <c r="L41" s="78">
        <v>0.21000000000000002</v>
      </c>
      <c r="M41" s="83">
        <v>0.19</v>
      </c>
      <c r="N41" s="79">
        <v>0.39</v>
      </c>
      <c r="O41" s="53" t="str">
        <f>IF(OR(INDEX([1]Relação_Calibrações_Localização!$F$8:$F$259,MATCH(B41,[1]Relação_Calibrações_Localização!$B$8:$B$259,0))="PERDIDO",INDEX([1]Relação_Calibrações_Localização!F57:F307,MATCH(B41,[1]Relação_Calibrações_Localização!$B$8:$B$259,0))="NÃO LOCALIZADO"),"PERDIDO",
IF(OR(G41="",I41="",K41="",M41=""),"INDETERMINADO",IF(MAX(H41,J41,L41,N41)&lt;=0.5,"APROVADO","REPROVADO")))</f>
        <v>APROVADO</v>
      </c>
      <c r="P41" s="80">
        <v>0.4</v>
      </c>
      <c r="Q41" s="83">
        <v>2.9</v>
      </c>
      <c r="R41" s="79">
        <v>3.3</v>
      </c>
      <c r="S41" s="81">
        <v>1</v>
      </c>
      <c r="T41" s="83">
        <v>3</v>
      </c>
      <c r="U41" s="79">
        <v>4</v>
      </c>
      <c r="V41" s="80">
        <v>1.5</v>
      </c>
      <c r="W41" s="83">
        <v>1.7</v>
      </c>
      <c r="X41" s="79">
        <v>3.2</v>
      </c>
      <c r="Y41" s="82" t="str">
        <f>IF(OR(INDEX([1]Relação_Calibrações_Localização!$F$8:$F$259,MATCH(B41,[1]Relação_Calibrações_Localização!$B$8:$B$259,0))="PERDIDO",INDEX([1]Relação_Calibrações_Localização!F57:F307,MATCH(B41,[1]Relação_Calibrações_Localização!$B$8:$B$259,0))="NÃO LOCALIZADO"),"PERDIDO",
IF(OR(Q41="",T41="",W41=""),"INDETERMINADO",IF(MAX(R41,U41,X41)&lt;=5,"APROVADO","REPROVADO")))</f>
        <v>APROVADO</v>
      </c>
    </row>
    <row r="42" spans="1:25" x14ac:dyDescent="0.25">
      <c r="A42" s="72">
        <v>37333139</v>
      </c>
      <c r="B42" s="73" t="s">
        <v>70</v>
      </c>
      <c r="C42" s="74">
        <v>45855</v>
      </c>
      <c r="D42" s="75">
        <v>46220</v>
      </c>
      <c r="E42" s="48">
        <v>605446</v>
      </c>
      <c r="F42" s="76">
        <v>0.2</v>
      </c>
      <c r="G42" s="83">
        <v>-0.01</v>
      </c>
      <c r="H42" s="78">
        <v>0.21000000000000002</v>
      </c>
      <c r="I42" s="83">
        <v>0.09</v>
      </c>
      <c r="J42" s="78">
        <v>0.29000000000000004</v>
      </c>
      <c r="K42" s="83">
        <v>0.19</v>
      </c>
      <c r="L42" s="78">
        <v>0.39</v>
      </c>
      <c r="M42" s="83">
        <v>0.19</v>
      </c>
      <c r="N42" s="79">
        <v>0.39</v>
      </c>
      <c r="O42" s="53" t="str">
        <f>IF(OR(INDEX([1]Relação_Calibrações_Localização!$F$8:$F$259,MATCH(B42,[1]Relação_Calibrações_Localização!$B$8:$B$259,0))="PERDIDO",INDEX([1]Relação_Calibrações_Localização!F58:F308,MATCH(B42,[1]Relação_Calibrações_Localização!$B$8:$B$259,0))="NÃO LOCALIZADO"),"PERDIDO",
IF(OR(G42="",I42="",K42="",M42=""),"INDETERMINADO",IF(MAX(H42,J42,L42,N42)&lt;=0.5,"APROVADO","REPROVADO")))</f>
        <v>APROVADO</v>
      </c>
      <c r="P42" s="80">
        <v>0.4</v>
      </c>
      <c r="Q42" s="83">
        <v>2.6</v>
      </c>
      <c r="R42" s="79">
        <v>3</v>
      </c>
      <c r="S42" s="81">
        <v>1</v>
      </c>
      <c r="T42" s="83">
        <v>2.2999999999999998</v>
      </c>
      <c r="U42" s="79">
        <v>3.3</v>
      </c>
      <c r="V42" s="80">
        <v>1.5</v>
      </c>
      <c r="W42" s="83">
        <v>1.5</v>
      </c>
      <c r="X42" s="79">
        <v>3</v>
      </c>
      <c r="Y42" s="82" t="str">
        <f>IF(OR(INDEX([1]Relação_Calibrações_Localização!$F$8:$F$259,MATCH(B42,[1]Relação_Calibrações_Localização!$B$8:$B$259,0))="PERDIDO",INDEX([1]Relação_Calibrações_Localização!F58:F308,MATCH(B42,[1]Relação_Calibrações_Localização!$B$8:$B$259,0))="NÃO LOCALIZADO"),"PERDIDO",
IF(OR(Q42="",T42="",W42=""),"INDETERMINADO",IF(MAX(R42,U42,X42)&lt;=5,"APROVADO","REPROVADO")))</f>
        <v>APROVADO</v>
      </c>
    </row>
    <row r="43" spans="1:25" x14ac:dyDescent="0.25">
      <c r="A43" s="72">
        <v>37333141</v>
      </c>
      <c r="B43" s="73" t="s">
        <v>71</v>
      </c>
      <c r="C43" s="74">
        <v>45855</v>
      </c>
      <c r="D43" s="75">
        <v>46220</v>
      </c>
      <c r="E43" s="48">
        <v>605475</v>
      </c>
      <c r="F43" s="76">
        <v>0.2</v>
      </c>
      <c r="G43" s="83">
        <v>-0.01</v>
      </c>
      <c r="H43" s="78">
        <v>0.21000000000000002</v>
      </c>
      <c r="I43" s="83">
        <v>0.09</v>
      </c>
      <c r="J43" s="78">
        <v>0.29000000000000004</v>
      </c>
      <c r="K43" s="83">
        <v>0.09</v>
      </c>
      <c r="L43" s="78">
        <v>0.29000000000000004</v>
      </c>
      <c r="M43" s="83">
        <v>0.09</v>
      </c>
      <c r="N43" s="79">
        <v>0.29000000000000004</v>
      </c>
      <c r="O43" s="53" t="str">
        <f>IF(OR(INDEX([1]Relação_Calibrações_Localização!$F$8:$F$259,MATCH(B43,[1]Relação_Calibrações_Localização!$B$8:$B$259,0))="PERDIDO",INDEX([1]Relação_Calibrações_Localização!F59:F309,MATCH(B43,[1]Relação_Calibrações_Localização!$B$8:$B$259,0))="NÃO LOCALIZADO"),"PERDIDO",
IF(OR(G43="",I43="",K43="",M43=""),"INDETERMINADO",IF(MAX(H43,J43,L43,N43)&lt;=0.5,"APROVADO","REPROVADO")))</f>
        <v>APROVADO</v>
      </c>
      <c r="P43" s="80">
        <v>0.4</v>
      </c>
      <c r="Q43" s="83">
        <v>3</v>
      </c>
      <c r="R43" s="79">
        <v>3.4</v>
      </c>
      <c r="S43" s="81">
        <v>1</v>
      </c>
      <c r="T43" s="83">
        <v>2.6</v>
      </c>
      <c r="U43" s="79">
        <v>3.6</v>
      </c>
      <c r="V43" s="80">
        <v>1.5</v>
      </c>
      <c r="W43" s="83">
        <v>2.2000000000000002</v>
      </c>
      <c r="X43" s="79">
        <v>3.7</v>
      </c>
      <c r="Y43" s="82" t="str">
        <f>IF(OR(INDEX([1]Relação_Calibrações_Localização!$F$8:$F$259,MATCH(B43,[1]Relação_Calibrações_Localização!$B$8:$B$259,0))="PERDIDO",INDEX([1]Relação_Calibrações_Localização!F59:F309,MATCH(B43,[1]Relação_Calibrações_Localização!$B$8:$B$259,0))="NÃO LOCALIZADO"),"PERDIDO",
IF(OR(Q43="",T43="",W43=""),"INDETERMINADO",IF(MAX(R43,U43,X43)&lt;=5,"APROVADO","REPROVADO")))</f>
        <v>APROVADO</v>
      </c>
    </row>
    <row r="44" spans="1:25" x14ac:dyDescent="0.25">
      <c r="A44" s="72">
        <v>37333143</v>
      </c>
      <c r="B44" s="73" t="s">
        <v>72</v>
      </c>
      <c r="C44" s="74">
        <v>45855</v>
      </c>
      <c r="D44" s="75">
        <v>46220</v>
      </c>
      <c r="E44" s="48">
        <v>605501</v>
      </c>
      <c r="F44" s="76">
        <v>0.2</v>
      </c>
      <c r="G44" s="83">
        <v>-0.01</v>
      </c>
      <c r="H44" s="78">
        <v>0.21000000000000002</v>
      </c>
      <c r="I44" s="83">
        <v>0.09</v>
      </c>
      <c r="J44" s="78">
        <v>0.29000000000000004</v>
      </c>
      <c r="K44" s="83">
        <v>0.09</v>
      </c>
      <c r="L44" s="78">
        <v>0.29000000000000004</v>
      </c>
      <c r="M44" s="83">
        <v>0.19</v>
      </c>
      <c r="N44" s="79">
        <v>0.39</v>
      </c>
      <c r="O44" s="53" t="str">
        <f>IF(OR(INDEX([1]Relação_Calibrações_Localização!$F$8:$F$259,MATCH(B44,[1]Relação_Calibrações_Localização!$B$8:$B$259,0))="PERDIDO",INDEX([1]Relação_Calibrações_Localização!F60:F310,MATCH(B44,[1]Relação_Calibrações_Localização!$B$8:$B$259,0))="NÃO LOCALIZADO"),"PERDIDO",
IF(OR(G44="",I44="",K44="",M44=""),"INDETERMINADO",IF(MAX(H44,J44,L44,N44)&lt;=0.5,"APROVADO","REPROVADO")))</f>
        <v>APROVADO</v>
      </c>
      <c r="P44" s="80">
        <v>0.4</v>
      </c>
      <c r="Q44" s="83">
        <v>3.1</v>
      </c>
      <c r="R44" s="79">
        <v>3.5</v>
      </c>
      <c r="S44" s="81">
        <v>1</v>
      </c>
      <c r="T44" s="83">
        <v>2.5</v>
      </c>
      <c r="U44" s="79">
        <v>3.5</v>
      </c>
      <c r="V44" s="80">
        <v>1.5</v>
      </c>
      <c r="W44" s="83">
        <v>2.2000000000000002</v>
      </c>
      <c r="X44" s="79">
        <v>3.7</v>
      </c>
      <c r="Y44" s="82" t="str">
        <f>IF(OR(INDEX([1]Relação_Calibrações_Localização!$F$8:$F$259,MATCH(B44,[1]Relação_Calibrações_Localização!$B$8:$B$259,0))="PERDIDO",INDEX([1]Relação_Calibrações_Localização!F60:F310,MATCH(B44,[1]Relação_Calibrações_Localização!$B$8:$B$259,0))="NÃO LOCALIZADO"),"PERDIDO",
IF(OR(Q44="",T44="",W44=""),"INDETERMINADO",IF(MAX(R44,U44,X44)&lt;=5,"APROVADO","REPROVADO")))</f>
        <v>APROVADO</v>
      </c>
    </row>
    <row r="45" spans="1:25" x14ac:dyDescent="0.25">
      <c r="A45" s="72">
        <v>37333149</v>
      </c>
      <c r="B45" s="73" t="s">
        <v>73</v>
      </c>
      <c r="C45" s="74">
        <v>45855</v>
      </c>
      <c r="D45" s="75">
        <v>46220</v>
      </c>
      <c r="E45" s="48">
        <v>605533</v>
      </c>
      <c r="F45" s="76">
        <v>0.2</v>
      </c>
      <c r="G45" s="83">
        <v>0.19</v>
      </c>
      <c r="H45" s="78">
        <v>0.39</v>
      </c>
      <c r="I45" s="83">
        <v>0.19</v>
      </c>
      <c r="J45" s="78">
        <v>0.39</v>
      </c>
      <c r="K45" s="83">
        <v>0.09</v>
      </c>
      <c r="L45" s="78">
        <v>0.29000000000000004</v>
      </c>
      <c r="M45" s="83">
        <v>-0.01</v>
      </c>
      <c r="N45" s="79">
        <v>0.21000000000000002</v>
      </c>
      <c r="O45" s="53" t="str">
        <f>IF(OR(INDEX([1]Relação_Calibrações_Localização!$F$8:$F$259,MATCH(B45,[1]Relação_Calibrações_Localização!$B$8:$B$259,0))="PERDIDO",INDEX([1]Relação_Calibrações_Localização!F61:F311,MATCH(B45,[1]Relação_Calibrações_Localização!$B$8:$B$259,0))="NÃO LOCALIZADO"),"PERDIDO",
IF(OR(G45="",I45="",K45="",M45=""),"INDETERMINADO",IF(MAX(H45,J45,L45,N45)&lt;=0.5,"APROVADO","REPROVADO")))</f>
        <v>APROVADO</v>
      </c>
      <c r="P45" s="80">
        <v>0.4</v>
      </c>
      <c r="Q45" s="83">
        <v>3.6</v>
      </c>
      <c r="R45" s="79">
        <v>4</v>
      </c>
      <c r="S45" s="81">
        <v>1</v>
      </c>
      <c r="T45" s="83">
        <v>3.3</v>
      </c>
      <c r="U45" s="79">
        <v>4.3</v>
      </c>
      <c r="V45" s="80">
        <v>1.5</v>
      </c>
      <c r="W45" s="83">
        <v>2</v>
      </c>
      <c r="X45" s="79">
        <v>3.5</v>
      </c>
      <c r="Y45" s="82" t="str">
        <f>IF(OR(INDEX([1]Relação_Calibrações_Localização!$F$8:$F$259,MATCH(B45,[1]Relação_Calibrações_Localização!$B$8:$B$259,0))="PERDIDO",INDEX([1]Relação_Calibrações_Localização!F61:F311,MATCH(B45,[1]Relação_Calibrações_Localização!$B$8:$B$259,0))="NÃO LOCALIZADO"),"PERDIDO",
IF(OR(Q45="",T45="",W45=""),"INDETERMINADO",IF(MAX(R45,U45,X45)&lt;=5,"APROVADO","REPROVADO")))</f>
        <v>APROVADO</v>
      </c>
    </row>
    <row r="46" spans="1:25" x14ac:dyDescent="0.25">
      <c r="A46" s="72">
        <v>37333150</v>
      </c>
      <c r="B46" s="73" t="s">
        <v>74</v>
      </c>
      <c r="C46" s="74">
        <v>45855</v>
      </c>
      <c r="D46" s="75">
        <v>46220</v>
      </c>
      <c r="E46" s="48">
        <v>605521</v>
      </c>
      <c r="F46" s="76">
        <v>0.2</v>
      </c>
      <c r="G46" s="83">
        <v>0.09</v>
      </c>
      <c r="H46" s="78">
        <v>0.29000000000000004</v>
      </c>
      <c r="I46" s="83">
        <v>0.09</v>
      </c>
      <c r="J46" s="78">
        <v>0.29000000000000004</v>
      </c>
      <c r="K46" s="83">
        <v>-0.11</v>
      </c>
      <c r="L46" s="78">
        <v>0.31</v>
      </c>
      <c r="M46" s="83">
        <v>-0.21</v>
      </c>
      <c r="N46" s="79">
        <v>0.41000000000000003</v>
      </c>
      <c r="O46" s="53" t="str">
        <f>IF(OR(INDEX([1]Relação_Calibrações_Localização!$F$8:$F$259,MATCH(B46,[1]Relação_Calibrações_Localização!$B$8:$B$259,0))="PERDIDO",INDEX([1]Relação_Calibrações_Localização!F62:F312,MATCH(B46,[1]Relação_Calibrações_Localização!$B$8:$B$259,0))="NÃO LOCALIZADO"),"PERDIDO",
IF(OR(G46="",I46="",K46="",M46=""),"INDETERMINADO",IF(MAX(H46,J46,L46,N46)&lt;=0.5,"APROVADO","REPROVADO")))</f>
        <v>APROVADO</v>
      </c>
      <c r="P46" s="80">
        <v>0.4</v>
      </c>
      <c r="Q46" s="83">
        <v>3.2</v>
      </c>
      <c r="R46" s="79">
        <v>3.6</v>
      </c>
      <c r="S46" s="81">
        <v>1</v>
      </c>
      <c r="T46" s="83">
        <v>1.2</v>
      </c>
      <c r="U46" s="79">
        <v>2.2000000000000002</v>
      </c>
      <c r="V46" s="80">
        <v>1.5</v>
      </c>
      <c r="W46" s="83">
        <v>1.3</v>
      </c>
      <c r="X46" s="79">
        <v>2.8</v>
      </c>
      <c r="Y46" s="82" t="str">
        <f>IF(OR(INDEX([1]Relação_Calibrações_Localização!$F$8:$F$259,MATCH(B46,[1]Relação_Calibrações_Localização!$B$8:$B$259,0))="PERDIDO",INDEX([1]Relação_Calibrações_Localização!F62:F312,MATCH(B46,[1]Relação_Calibrações_Localização!$B$8:$B$259,0))="NÃO LOCALIZADO"),"PERDIDO",
IF(OR(Q46="",T46="",W46=""),"INDETERMINADO",IF(MAX(R46,U46,X46)&lt;=5,"APROVADO","REPROVADO")))</f>
        <v>APROVADO</v>
      </c>
    </row>
    <row r="47" spans="1:25" x14ac:dyDescent="0.25">
      <c r="A47" s="72">
        <v>37333153</v>
      </c>
      <c r="B47" s="73" t="s">
        <v>75</v>
      </c>
      <c r="C47" s="74">
        <v>45855</v>
      </c>
      <c r="D47" s="75">
        <v>46220</v>
      </c>
      <c r="E47" s="48">
        <v>605488</v>
      </c>
      <c r="F47" s="76">
        <v>0.2</v>
      </c>
      <c r="G47" s="83">
        <v>-0.21</v>
      </c>
      <c r="H47" s="78">
        <v>0.41000000000000003</v>
      </c>
      <c r="I47" s="83">
        <v>-0.11</v>
      </c>
      <c r="J47" s="78">
        <v>0.31</v>
      </c>
      <c r="K47" s="83">
        <v>-0.01</v>
      </c>
      <c r="L47" s="78">
        <v>0.21000000000000002</v>
      </c>
      <c r="M47" s="83">
        <v>-0.01</v>
      </c>
      <c r="N47" s="79">
        <v>0.21000000000000002</v>
      </c>
      <c r="O47" s="53" t="str">
        <f>IF(OR(INDEX([1]Relação_Calibrações_Localização!$F$8:$F$259,MATCH(B47,[1]Relação_Calibrações_Localização!$B$8:$B$259,0))="PERDIDO",INDEX([1]Relação_Calibrações_Localização!F63:F313,MATCH(B47,[1]Relação_Calibrações_Localização!$B$8:$B$259,0))="NÃO LOCALIZADO"),"PERDIDO",
IF(OR(G47="",I47="",K47="",M47=""),"INDETERMINADO",IF(MAX(H47,J47,L47,N47)&lt;=0.5,"APROVADO","REPROVADO")))</f>
        <v>APROVADO</v>
      </c>
      <c r="P47" s="80">
        <v>0.4</v>
      </c>
      <c r="Q47" s="83">
        <v>2.8</v>
      </c>
      <c r="R47" s="79">
        <v>3.1999999999999997</v>
      </c>
      <c r="S47" s="81">
        <v>1</v>
      </c>
      <c r="T47" s="83">
        <v>0.3</v>
      </c>
      <c r="U47" s="79">
        <v>1.3</v>
      </c>
      <c r="V47" s="80">
        <v>1.5</v>
      </c>
      <c r="W47" s="83">
        <v>1.7</v>
      </c>
      <c r="X47" s="79">
        <v>3.2</v>
      </c>
      <c r="Y47" s="82" t="str">
        <f>IF(OR(INDEX([1]Relação_Calibrações_Localização!$F$8:$F$259,MATCH(B47,[1]Relação_Calibrações_Localização!$B$8:$B$259,0))="PERDIDO",INDEX([1]Relação_Calibrações_Localização!F63:F313,MATCH(B47,[1]Relação_Calibrações_Localização!$B$8:$B$259,0))="NÃO LOCALIZADO"),"PERDIDO",
IF(OR(Q47="",T47="",W47=""),"INDETERMINADO",IF(MAX(R47,U47,X47)&lt;=5,"APROVADO","REPROVADO")))</f>
        <v>APROVADO</v>
      </c>
    </row>
    <row r="48" spans="1:25" x14ac:dyDescent="0.25">
      <c r="A48" s="72">
        <v>37333155</v>
      </c>
      <c r="B48" s="73" t="s">
        <v>76</v>
      </c>
      <c r="C48" s="74">
        <v>45855</v>
      </c>
      <c r="D48" s="75">
        <v>46220</v>
      </c>
      <c r="E48" s="48">
        <v>605504</v>
      </c>
      <c r="F48" s="76">
        <v>0.2</v>
      </c>
      <c r="G48" s="83">
        <v>-0.11</v>
      </c>
      <c r="H48" s="78">
        <v>0.31</v>
      </c>
      <c r="I48" s="83">
        <v>-0.11</v>
      </c>
      <c r="J48" s="78">
        <v>0.31</v>
      </c>
      <c r="K48" s="83">
        <v>-0.01</v>
      </c>
      <c r="L48" s="78">
        <v>0.21000000000000002</v>
      </c>
      <c r="M48" s="83">
        <v>0.09</v>
      </c>
      <c r="N48" s="79">
        <v>0.29000000000000004</v>
      </c>
      <c r="O48" s="53" t="str">
        <f>IF(OR(INDEX([1]Relação_Calibrações_Localização!$F$8:$F$259,MATCH(B48,[1]Relação_Calibrações_Localização!$B$8:$B$259,0))="PERDIDO",INDEX([1]Relação_Calibrações_Localização!F64:F314,MATCH(B48,[1]Relação_Calibrações_Localização!$B$8:$B$259,0))="NÃO LOCALIZADO"),"PERDIDO",
IF(OR(G48="",I48="",K48="",M48=""),"INDETERMINADO",IF(MAX(H48,J48,L48,N48)&lt;=0.5,"APROVADO","REPROVADO")))</f>
        <v>APROVADO</v>
      </c>
      <c r="P48" s="80">
        <v>0.4</v>
      </c>
      <c r="Q48" s="83">
        <v>3.6</v>
      </c>
      <c r="R48" s="79">
        <v>4</v>
      </c>
      <c r="S48" s="81">
        <v>1</v>
      </c>
      <c r="T48" s="83">
        <v>3.2</v>
      </c>
      <c r="U48" s="79">
        <v>4.2</v>
      </c>
      <c r="V48" s="80">
        <v>1.5</v>
      </c>
      <c r="W48" s="83">
        <v>1.6</v>
      </c>
      <c r="X48" s="79">
        <v>3.1</v>
      </c>
      <c r="Y48" s="82" t="str">
        <f>IF(OR(INDEX([1]Relação_Calibrações_Localização!$F$8:$F$259,MATCH(B48,[1]Relação_Calibrações_Localização!$B$8:$B$259,0))="PERDIDO",INDEX([1]Relação_Calibrações_Localização!F64:F314,MATCH(B48,[1]Relação_Calibrações_Localização!$B$8:$B$259,0))="NÃO LOCALIZADO"),"PERDIDO",
IF(OR(Q48="",T48="",W48=""),"INDETERMINADO",IF(MAX(R48,U48,X48)&lt;=5,"APROVADO","REPROVADO")))</f>
        <v>APROVADO</v>
      </c>
    </row>
    <row r="49" spans="1:25" x14ac:dyDescent="0.25">
      <c r="A49" s="72">
        <v>37333162</v>
      </c>
      <c r="B49" s="73" t="s">
        <v>77</v>
      </c>
      <c r="C49" s="74">
        <v>45855</v>
      </c>
      <c r="D49" s="75">
        <v>46220</v>
      </c>
      <c r="E49" s="48">
        <v>605558</v>
      </c>
      <c r="F49" s="76">
        <v>0.2</v>
      </c>
      <c r="G49" s="83">
        <v>0.19</v>
      </c>
      <c r="H49" s="78">
        <v>0.39</v>
      </c>
      <c r="I49" s="83">
        <v>0.09</v>
      </c>
      <c r="J49" s="78">
        <v>0.29000000000000004</v>
      </c>
      <c r="K49" s="83">
        <v>0.09</v>
      </c>
      <c r="L49" s="78">
        <v>0.29000000000000004</v>
      </c>
      <c r="M49" s="83">
        <v>-0.01</v>
      </c>
      <c r="N49" s="79">
        <v>0.21000000000000002</v>
      </c>
      <c r="O49" s="53" t="str">
        <f>IF(OR(INDEX([1]Relação_Calibrações_Localização!$F$8:$F$259,MATCH(B49,[1]Relação_Calibrações_Localização!$B$8:$B$259,0))="PERDIDO",INDEX([1]Relação_Calibrações_Localização!F66:F316,MATCH(B49,[1]Relação_Calibrações_Localização!$B$8:$B$259,0))="NÃO LOCALIZADO"),"PERDIDO",
IF(OR(G49="",I49="",K49="",M49=""),"INDETERMINADO",IF(MAX(H49,J49,L49,N49)&lt;=0.5,"APROVADO","REPROVADO")))</f>
        <v>APROVADO</v>
      </c>
      <c r="P49" s="80">
        <v>0.4</v>
      </c>
      <c r="Q49" s="83">
        <v>3.6</v>
      </c>
      <c r="R49" s="79">
        <v>4</v>
      </c>
      <c r="S49" s="81">
        <v>1</v>
      </c>
      <c r="T49" s="83">
        <v>1.6</v>
      </c>
      <c r="U49" s="79">
        <v>2.6</v>
      </c>
      <c r="V49" s="80">
        <v>1.5</v>
      </c>
      <c r="W49" s="83">
        <v>2.2000000000000002</v>
      </c>
      <c r="X49" s="79">
        <v>3.7</v>
      </c>
      <c r="Y49" s="82" t="str">
        <f>IF(OR(INDEX([1]Relação_Calibrações_Localização!$F$8:$F$259,MATCH(B49,[1]Relação_Calibrações_Localização!$B$8:$B$259,0))="PERDIDO",INDEX([1]Relação_Calibrações_Localização!F66:F316,MATCH(B49,[1]Relação_Calibrações_Localização!$B$8:$B$259,0))="NÃO LOCALIZADO"),"PERDIDO",
IF(OR(Q49="",T49="",W49=""),"INDETERMINADO",IF(MAX(R49,U49,X49)&lt;=5,"APROVADO","REPROVADO")))</f>
        <v>APROVADO</v>
      </c>
    </row>
    <row r="50" spans="1:25" x14ac:dyDescent="0.25">
      <c r="A50" s="72">
        <v>37333196</v>
      </c>
      <c r="B50" s="73" t="s">
        <v>78</v>
      </c>
      <c r="C50" s="74">
        <v>45855</v>
      </c>
      <c r="D50" s="75">
        <v>46220</v>
      </c>
      <c r="E50" s="48">
        <v>605436</v>
      </c>
      <c r="F50" s="76">
        <v>0.2</v>
      </c>
      <c r="G50" s="83">
        <v>-0.11</v>
      </c>
      <c r="H50" s="78">
        <v>0.31</v>
      </c>
      <c r="I50" s="83">
        <v>-0.01</v>
      </c>
      <c r="J50" s="78">
        <v>0.21000000000000002</v>
      </c>
      <c r="K50" s="83">
        <v>0.09</v>
      </c>
      <c r="L50" s="78">
        <v>0.29000000000000004</v>
      </c>
      <c r="M50" s="83">
        <v>0.19</v>
      </c>
      <c r="N50" s="79">
        <v>0.39</v>
      </c>
      <c r="O50" s="53" t="str">
        <f>IF(OR(INDEX([1]Relação_Calibrações_Localização!$F$8:$F$259,MATCH(B50,[1]Relação_Calibrações_Localização!$B$8:$B$259,0))="PERDIDO",INDEX([1]Relação_Calibrações_Localização!F67:F317,MATCH(B50,[1]Relação_Calibrações_Localização!$B$8:$B$259,0))="NÃO LOCALIZADO"),"PERDIDO",
IF(OR(G50="",I50="",K50="",M50=""),"INDETERMINADO",IF(MAX(H50,J50,L50,N50)&lt;=0.5,"APROVADO","REPROVADO")))</f>
        <v>APROVADO</v>
      </c>
      <c r="P50" s="80">
        <v>0.4</v>
      </c>
      <c r="Q50" s="83">
        <v>3.4</v>
      </c>
      <c r="R50" s="79">
        <v>3.8</v>
      </c>
      <c r="S50" s="81">
        <v>1</v>
      </c>
      <c r="T50" s="83">
        <v>3.7</v>
      </c>
      <c r="U50" s="79">
        <v>4.7</v>
      </c>
      <c r="V50" s="80">
        <v>1.5</v>
      </c>
      <c r="W50" s="83">
        <v>-1.2</v>
      </c>
      <c r="X50" s="79">
        <v>2.7</v>
      </c>
      <c r="Y50" s="82" t="str">
        <f>IF(OR(INDEX([1]Relação_Calibrações_Localização!$F$8:$F$259,MATCH(B50,[1]Relação_Calibrações_Localização!$B$8:$B$259,0))="PERDIDO",INDEX([1]Relação_Calibrações_Localização!F67:F317,MATCH(B50,[1]Relação_Calibrações_Localização!$B$8:$B$259,0))="NÃO LOCALIZADO"),"PERDIDO",
IF(OR(Q50="",T50="",W50=""),"INDETERMINADO",IF(MAX(R50,U50,X50)&lt;=5,"APROVADO","REPROVADO")))</f>
        <v>APROVADO</v>
      </c>
    </row>
    <row r="51" spans="1:25" x14ac:dyDescent="0.25">
      <c r="A51" s="72">
        <v>37333227</v>
      </c>
      <c r="B51" s="73" t="s">
        <v>79</v>
      </c>
      <c r="C51" s="74">
        <v>45855</v>
      </c>
      <c r="D51" s="75">
        <v>46220</v>
      </c>
      <c r="E51" s="48">
        <v>605485</v>
      </c>
      <c r="F51" s="76">
        <v>0.2</v>
      </c>
      <c r="G51" s="83">
        <v>0.09</v>
      </c>
      <c r="H51" s="78">
        <v>0.29000000000000004</v>
      </c>
      <c r="I51" s="83">
        <v>0.09</v>
      </c>
      <c r="J51" s="78">
        <v>0.29000000000000004</v>
      </c>
      <c r="K51" s="83">
        <v>-0.01</v>
      </c>
      <c r="L51" s="78">
        <v>0.21000000000000002</v>
      </c>
      <c r="M51" s="83">
        <v>-0.11</v>
      </c>
      <c r="N51" s="79">
        <v>0.31</v>
      </c>
      <c r="O51" s="53" t="str">
        <f>IF(OR(INDEX([1]Relação_Calibrações_Localização!$F$8:$F$259,MATCH(B51,[1]Relação_Calibrações_Localização!$B$8:$B$259,0))="PERDIDO",INDEX([1]Relação_Calibrações_Localização!F69:F319,MATCH(B51,[1]Relação_Calibrações_Localização!$B$8:$B$259,0))="NÃO LOCALIZADO"),"PERDIDO",
IF(OR(G51="",I51="",K51="",M51=""),"INDETERMINADO",IF(MAX(H51,J51,L51,N51)&lt;=0.5,"APROVADO","REPROVADO")))</f>
        <v>APROVADO</v>
      </c>
      <c r="P51" s="80">
        <v>0.4</v>
      </c>
      <c r="Q51" s="83">
        <v>3.5</v>
      </c>
      <c r="R51" s="79">
        <v>3.9</v>
      </c>
      <c r="S51" s="81">
        <v>1</v>
      </c>
      <c r="T51" s="83">
        <v>3.8</v>
      </c>
      <c r="U51" s="79">
        <v>4.8</v>
      </c>
      <c r="V51" s="80">
        <v>1.5</v>
      </c>
      <c r="W51" s="83">
        <v>2.7</v>
      </c>
      <c r="X51" s="79">
        <v>4.2</v>
      </c>
      <c r="Y51" s="82" t="str">
        <f>IF(OR(INDEX([1]Relação_Calibrações_Localização!$F$8:$F$259,MATCH(B51,[1]Relação_Calibrações_Localização!$B$8:$B$259,0))="PERDIDO",INDEX([1]Relação_Calibrações_Localização!F69:F319,MATCH(B51,[1]Relação_Calibrações_Localização!$B$8:$B$259,0))="NÃO LOCALIZADO"),"PERDIDO",
IF(OR(Q51="",T51="",W51=""),"INDETERMINADO",IF(MAX(R51,U51,X51)&lt;=5,"APROVADO","REPROVADO")))</f>
        <v>APROVADO</v>
      </c>
    </row>
    <row r="52" spans="1:25" x14ac:dyDescent="0.25">
      <c r="A52" s="72">
        <v>37333312</v>
      </c>
      <c r="B52" s="73" t="s">
        <v>80</v>
      </c>
      <c r="C52" s="74">
        <v>45855</v>
      </c>
      <c r="D52" s="75">
        <v>46220</v>
      </c>
      <c r="E52" s="48">
        <v>605428</v>
      </c>
      <c r="F52" s="76">
        <v>0.2</v>
      </c>
      <c r="G52" s="83">
        <v>-0.21</v>
      </c>
      <c r="H52" s="78">
        <v>0.41000000000000003</v>
      </c>
      <c r="I52" s="83">
        <v>-0.11</v>
      </c>
      <c r="J52" s="78">
        <v>0.31</v>
      </c>
      <c r="K52" s="83">
        <v>-0.11</v>
      </c>
      <c r="L52" s="78">
        <v>0.31</v>
      </c>
      <c r="M52" s="83">
        <v>-0.01</v>
      </c>
      <c r="N52" s="79">
        <v>0.21000000000000002</v>
      </c>
      <c r="O52" s="53" t="str">
        <f>IF(OR(INDEX([1]Relação_Calibrações_Localização!$F$8:$F$259,MATCH(B52,[1]Relação_Calibrações_Localização!$B$8:$B$259,0))="PERDIDO",INDEX([1]Relação_Calibrações_Localização!F72:F322,MATCH(B52,[1]Relação_Calibrações_Localização!$B$8:$B$259,0))="NÃO LOCALIZADO"),"PERDIDO",
IF(OR(G52="",I52="",K52="",M52=""),"INDETERMINADO",IF(MAX(H52,J52,L52,N52)&lt;=0.5,"APROVADO","REPROVADO")))</f>
        <v>APROVADO</v>
      </c>
      <c r="P52" s="80">
        <v>0.4</v>
      </c>
      <c r="Q52" s="83">
        <v>3.7</v>
      </c>
      <c r="R52" s="79">
        <v>4.1000000000000005</v>
      </c>
      <c r="S52" s="81">
        <v>1</v>
      </c>
      <c r="T52" s="83">
        <v>3.8</v>
      </c>
      <c r="U52" s="79">
        <v>4.8</v>
      </c>
      <c r="V52" s="80">
        <v>1.5</v>
      </c>
      <c r="W52" s="83">
        <v>2.6</v>
      </c>
      <c r="X52" s="79">
        <v>4.0999999999999996</v>
      </c>
      <c r="Y52" s="82" t="str">
        <f>IF(OR(INDEX([1]Relação_Calibrações_Localização!$F$8:$F$259,MATCH(B52,[1]Relação_Calibrações_Localização!$B$8:$B$259,0))="PERDIDO",INDEX([1]Relação_Calibrações_Localização!F72:F322,MATCH(B52,[1]Relação_Calibrações_Localização!$B$8:$B$259,0))="NÃO LOCALIZADO"),"PERDIDO",
IF(OR(Q52="",T52="",W52=""),"INDETERMINADO",IF(MAX(R52,U52,X52)&lt;=5,"APROVADO","REPROVADO")))</f>
        <v>APROVADO</v>
      </c>
    </row>
    <row r="53" spans="1:25" x14ac:dyDescent="0.25">
      <c r="A53" s="72">
        <v>37333715</v>
      </c>
      <c r="B53" s="73" t="s">
        <v>81</v>
      </c>
      <c r="C53" s="74">
        <v>45855</v>
      </c>
      <c r="D53" s="75">
        <v>46220</v>
      </c>
      <c r="E53" s="48">
        <v>605536</v>
      </c>
      <c r="F53" s="76">
        <v>0.2</v>
      </c>
      <c r="G53" s="83">
        <v>-0.21</v>
      </c>
      <c r="H53" s="78">
        <v>0.41000000000000003</v>
      </c>
      <c r="I53" s="83">
        <v>-0.11</v>
      </c>
      <c r="J53" s="78">
        <v>0.31</v>
      </c>
      <c r="K53" s="83">
        <v>-0.11</v>
      </c>
      <c r="L53" s="78">
        <v>0.31</v>
      </c>
      <c r="M53" s="83">
        <v>-0.01</v>
      </c>
      <c r="N53" s="79">
        <v>0.21000000000000002</v>
      </c>
      <c r="O53" s="53" t="str">
        <f>IF(OR(INDEX([1]Relação_Calibrações_Localização!$F$8:$F$259,MATCH(B53,[1]Relação_Calibrações_Localização!$B$8:$B$259,0))="PERDIDO",INDEX([1]Relação_Calibrações_Localização!F73:F323,MATCH(B53,[1]Relação_Calibrações_Localização!$B$8:$B$259,0))="NÃO LOCALIZADO"),"PERDIDO",
IF(OR(G53="",I53="",K53="",M53=""),"INDETERMINADO",IF(MAX(H53,J53,L53,N53)&lt;=0.5,"APROVADO","REPROVADO")))</f>
        <v>APROVADO</v>
      </c>
      <c r="P53" s="80">
        <v>0.4</v>
      </c>
      <c r="Q53" s="83">
        <v>2.6</v>
      </c>
      <c r="R53" s="79">
        <v>3</v>
      </c>
      <c r="S53" s="81">
        <v>1</v>
      </c>
      <c r="T53" s="83">
        <v>1.1000000000000001</v>
      </c>
      <c r="U53" s="79">
        <v>2.1</v>
      </c>
      <c r="V53" s="80">
        <v>1.5</v>
      </c>
      <c r="W53" s="83">
        <v>1.8</v>
      </c>
      <c r="X53" s="79">
        <v>3.3</v>
      </c>
      <c r="Y53" s="82" t="str">
        <f>IF(OR(INDEX([1]Relação_Calibrações_Localização!$F$8:$F$259,MATCH(B53,[1]Relação_Calibrações_Localização!$B$8:$B$259,0))="PERDIDO",INDEX([1]Relação_Calibrações_Localização!F73:F323,MATCH(B53,[1]Relação_Calibrações_Localização!$B$8:$B$259,0))="NÃO LOCALIZADO"),"PERDIDO",
IF(OR(Q53="",T53="",W53=""),"INDETERMINADO",IF(MAX(R53,U53,X53)&lt;=5,"APROVADO","REPROVADO")))</f>
        <v>APROVADO</v>
      </c>
    </row>
    <row r="54" spans="1:25" x14ac:dyDescent="0.25">
      <c r="A54" s="72">
        <v>37333721</v>
      </c>
      <c r="B54" s="73" t="s">
        <v>82</v>
      </c>
      <c r="C54" s="74">
        <v>45855</v>
      </c>
      <c r="D54" s="75">
        <v>46220</v>
      </c>
      <c r="E54" s="48">
        <v>605434</v>
      </c>
      <c r="F54" s="76">
        <v>0.2</v>
      </c>
      <c r="G54" s="83">
        <v>0.09</v>
      </c>
      <c r="H54" s="78">
        <v>0.29000000000000004</v>
      </c>
      <c r="I54" s="83">
        <v>-0.01</v>
      </c>
      <c r="J54" s="78">
        <v>0.21000000000000002</v>
      </c>
      <c r="K54" s="83">
        <v>-0.11</v>
      </c>
      <c r="L54" s="78">
        <v>0.31</v>
      </c>
      <c r="M54" s="83">
        <v>-0.11</v>
      </c>
      <c r="N54" s="79">
        <v>0.31</v>
      </c>
      <c r="O54" s="53" t="s">
        <v>47</v>
      </c>
      <c r="P54" s="80">
        <v>0.4</v>
      </c>
      <c r="Q54" s="83">
        <v>4.5999999999999996</v>
      </c>
      <c r="R54" s="79">
        <v>5</v>
      </c>
      <c r="S54" s="81">
        <v>1</v>
      </c>
      <c r="T54" s="83">
        <v>0.9</v>
      </c>
      <c r="U54" s="79">
        <v>1.9</v>
      </c>
      <c r="V54" s="80">
        <v>1.5</v>
      </c>
      <c r="W54" s="83">
        <v>2.5</v>
      </c>
      <c r="X54" s="79">
        <v>4</v>
      </c>
      <c r="Y54" s="82" t="str">
        <f>IF(OR(INDEX([1]Relação_Calibrações_Localização!$F$8:$F$259,MATCH(B54,[1]Relação_Calibrações_Localização!$B$8:$B$259,0))="PERDIDO",INDEX([1]Relação_Calibrações_Localização!F74:F324,MATCH(B54,[1]Relação_Calibrações_Localização!$B$8:$B$259,0))="NÃO LOCALIZADO"),"PERDIDO",
IF(OR(Q54="",T54="",W54=""),"INDETERMINADO",IF(MAX(R54,U54,X54)&lt;=5,"APROVADO","REPROVADO")))</f>
        <v>APROVADO</v>
      </c>
    </row>
    <row r="55" spans="1:25" x14ac:dyDescent="0.25">
      <c r="A55" s="72">
        <v>37333722</v>
      </c>
      <c r="B55" s="73" t="s">
        <v>83</v>
      </c>
      <c r="C55" s="74">
        <v>45855</v>
      </c>
      <c r="D55" s="75">
        <v>46220</v>
      </c>
      <c r="E55" s="48">
        <v>605505</v>
      </c>
      <c r="F55" s="76">
        <v>0.2</v>
      </c>
      <c r="G55" s="83">
        <v>-0.11</v>
      </c>
      <c r="H55" s="78">
        <v>0.31</v>
      </c>
      <c r="I55" s="83">
        <v>-0.11</v>
      </c>
      <c r="J55" s="78">
        <v>0.31</v>
      </c>
      <c r="K55" s="83">
        <v>-0.01</v>
      </c>
      <c r="L55" s="78">
        <v>0.21000000000000002</v>
      </c>
      <c r="M55" s="83">
        <v>0.09</v>
      </c>
      <c r="N55" s="79">
        <v>0.29000000000000004</v>
      </c>
      <c r="O55" s="53" t="str">
        <f>IF(OR(INDEX([1]Relação_Calibrações_Localização!$F$8:$F$259,MATCH(B55,[1]Relação_Calibrações_Localização!$B$8:$B$259,0))="PERDIDO",INDEX([1]Relação_Calibrações_Localização!F75:F325,MATCH(B55,[1]Relação_Calibrações_Localização!$B$8:$B$259,0))="NÃO LOCALIZADO"),"PERDIDO",
IF(OR(G55="",I55="",K55="",M55=""),"INDETERMINADO",IF(MAX(H55,J55,L55,N55)&lt;=0.5,"APROVADO","REPROVADO")))</f>
        <v>APROVADO</v>
      </c>
      <c r="P55" s="80">
        <v>0.4</v>
      </c>
      <c r="Q55" s="83">
        <v>3.3</v>
      </c>
      <c r="R55" s="79">
        <v>3.6999999999999997</v>
      </c>
      <c r="S55" s="81">
        <v>1</v>
      </c>
      <c r="T55" s="83">
        <v>-0.3</v>
      </c>
      <c r="U55" s="79">
        <v>1.3</v>
      </c>
      <c r="V55" s="80">
        <v>1.5</v>
      </c>
      <c r="W55" s="83">
        <v>1.2</v>
      </c>
      <c r="X55" s="79">
        <v>2.7</v>
      </c>
      <c r="Y55" s="82" t="str">
        <f>IF(OR(INDEX([1]Relação_Calibrações_Localização!$F$8:$F$259,MATCH(B55,[1]Relação_Calibrações_Localização!$B$8:$B$259,0))="PERDIDO",INDEX([1]Relação_Calibrações_Localização!F75:F325,MATCH(B55,[1]Relação_Calibrações_Localização!$B$8:$B$259,0))="NÃO LOCALIZADO"),"PERDIDO",
IF(OR(Q55="",T55="",W55=""),"INDETERMINADO",IF(MAX(R55,U55,X55)&lt;=5,"APROVADO","REPROVADO")))</f>
        <v>APROVADO</v>
      </c>
    </row>
    <row r="56" spans="1:25" x14ac:dyDescent="0.25">
      <c r="A56" s="72">
        <v>37333773</v>
      </c>
      <c r="B56" s="73" t="s">
        <v>84</v>
      </c>
      <c r="C56" s="74">
        <v>45855</v>
      </c>
      <c r="D56" s="75">
        <v>46220</v>
      </c>
      <c r="E56" s="48">
        <v>605539</v>
      </c>
      <c r="F56" s="76">
        <v>0.2</v>
      </c>
      <c r="G56" s="83">
        <v>0.09</v>
      </c>
      <c r="H56" s="78">
        <v>0.29000000000000004</v>
      </c>
      <c r="I56" s="83">
        <v>0.09</v>
      </c>
      <c r="J56" s="78">
        <v>0.29000000000000004</v>
      </c>
      <c r="K56" s="83">
        <v>0.19</v>
      </c>
      <c r="L56" s="78">
        <v>0.39</v>
      </c>
      <c r="M56" s="83">
        <v>0.28999999999999998</v>
      </c>
      <c r="N56" s="79">
        <v>0.49</v>
      </c>
      <c r="O56" s="53" t="str">
        <f>IF(OR(INDEX([1]Relação_Calibrações_Localização!$F$8:$F$259,MATCH(B56,[1]Relação_Calibrações_Localização!$B$8:$B$259,0))="PERDIDO",INDEX([1]Relação_Calibrações_Localização!F80:F330,MATCH(B56,[1]Relação_Calibrações_Localização!$B$8:$B$259,0))="NÃO LOCALIZADO"),"PERDIDO",
IF(OR(G56="",I56="",K56="",M56=""),"INDETERMINADO",IF(MAX(H56,J56,L56,N56)&lt;=0.5,"APROVADO","REPROVADO")))</f>
        <v>APROVADO</v>
      </c>
      <c r="P56" s="80">
        <v>0.4</v>
      </c>
      <c r="Q56" s="83">
        <v>2.9</v>
      </c>
      <c r="R56" s="79">
        <v>3.3</v>
      </c>
      <c r="S56" s="81">
        <v>1</v>
      </c>
      <c r="T56" s="83">
        <v>1.8</v>
      </c>
      <c r="U56" s="79">
        <v>2.8</v>
      </c>
      <c r="V56" s="80">
        <v>1.5</v>
      </c>
      <c r="W56" s="83">
        <v>1.2</v>
      </c>
      <c r="X56" s="79">
        <v>2.7</v>
      </c>
      <c r="Y56" s="82" t="str">
        <f>IF(OR(INDEX([1]Relação_Calibrações_Localização!$F$8:$F$259,MATCH(B56,[1]Relação_Calibrações_Localização!$B$8:$B$259,0))="PERDIDO",INDEX([1]Relação_Calibrações_Localização!F80:F330,MATCH(B56,[1]Relação_Calibrações_Localização!$B$8:$B$259,0))="NÃO LOCALIZADO"),"PERDIDO",
IF(OR(Q56="",T56="",W56=""),"INDETERMINADO",IF(MAX(R56,U56,X56)&lt;=5,"APROVADO","REPROVADO")))</f>
        <v>APROVADO</v>
      </c>
    </row>
    <row r="57" spans="1:25" x14ac:dyDescent="0.25">
      <c r="A57" s="72">
        <v>37333809</v>
      </c>
      <c r="B57" s="73" t="s">
        <v>85</v>
      </c>
      <c r="C57" s="74">
        <v>45855</v>
      </c>
      <c r="D57" s="75">
        <v>46220</v>
      </c>
      <c r="E57" s="48">
        <v>605549</v>
      </c>
      <c r="F57" s="76">
        <v>0.2</v>
      </c>
      <c r="G57" s="83">
        <v>-0.01</v>
      </c>
      <c r="H57" s="78">
        <v>0.21000000000000002</v>
      </c>
      <c r="I57" s="83">
        <v>-0.11</v>
      </c>
      <c r="J57" s="78">
        <v>0.31</v>
      </c>
      <c r="K57" s="83">
        <v>-0.11</v>
      </c>
      <c r="L57" s="78">
        <v>0.31</v>
      </c>
      <c r="M57" s="83">
        <v>-0.21</v>
      </c>
      <c r="N57" s="79">
        <v>0.41000000000000003</v>
      </c>
      <c r="O57" s="53" t="str">
        <f>IF(OR(INDEX([1]Relação_Calibrações_Localização!$F$8:$F$259,MATCH(B57,[1]Relação_Calibrações_Localização!$B$8:$B$259,0))="PERDIDO",INDEX([1]Relação_Calibrações_Localização!F81:F331,MATCH(B57,[1]Relação_Calibrações_Localização!$B$8:$B$259,0))="NÃO LOCALIZADO"),"PERDIDO",
IF(OR(G57="",I57="",K57="",M57=""),"INDETERMINADO",IF(MAX(H57,J57,L57,N57)&lt;=0.5,"APROVADO","REPROVADO")))</f>
        <v>APROVADO</v>
      </c>
      <c r="P57" s="80">
        <v>0.4</v>
      </c>
      <c r="Q57" s="83">
        <v>3.2</v>
      </c>
      <c r="R57" s="79">
        <v>3.6</v>
      </c>
      <c r="S57" s="81">
        <v>1</v>
      </c>
      <c r="T57" s="83">
        <v>-1.9</v>
      </c>
      <c r="U57" s="79">
        <v>2.9</v>
      </c>
      <c r="V57" s="80">
        <v>1.5</v>
      </c>
      <c r="W57" s="83">
        <v>1.1000000000000001</v>
      </c>
      <c r="X57" s="79">
        <v>2.6</v>
      </c>
      <c r="Y57" s="82" t="str">
        <f>IF(OR(INDEX([1]Relação_Calibrações_Localização!$F$8:$F$259,MATCH(B57,[1]Relação_Calibrações_Localização!$B$8:$B$259,0))="PERDIDO",INDEX([1]Relação_Calibrações_Localização!F81:F331,MATCH(B57,[1]Relação_Calibrações_Localização!$B$8:$B$259,0))="NÃO LOCALIZADO"),"PERDIDO",
IF(OR(Q57="",T57="",W57=""),"INDETERMINADO",IF(MAX(R57,U57,X57)&lt;=5,"APROVADO","REPROVADO")))</f>
        <v>APROVADO</v>
      </c>
    </row>
    <row r="58" spans="1:25" x14ac:dyDescent="0.25">
      <c r="A58" s="72">
        <v>37333818</v>
      </c>
      <c r="B58" s="73" t="s">
        <v>86</v>
      </c>
      <c r="C58" s="74">
        <v>45855</v>
      </c>
      <c r="D58" s="75">
        <v>46220</v>
      </c>
      <c r="E58" s="48">
        <v>605443</v>
      </c>
      <c r="F58" s="76">
        <v>0.2</v>
      </c>
      <c r="G58" s="83">
        <v>0.19</v>
      </c>
      <c r="H58" s="78">
        <v>0.39</v>
      </c>
      <c r="I58" s="83">
        <v>0.09</v>
      </c>
      <c r="J58" s="78">
        <v>0.29000000000000004</v>
      </c>
      <c r="K58" s="83">
        <v>0.09</v>
      </c>
      <c r="L58" s="78">
        <v>0.29000000000000004</v>
      </c>
      <c r="M58" s="83">
        <v>-0.21</v>
      </c>
      <c r="N58" s="79">
        <v>0.41000000000000003</v>
      </c>
      <c r="O58" s="53" t="str">
        <f>IF(OR(INDEX([1]Relação_Calibrações_Localização!$F$8:$F$259,MATCH(B58,[1]Relação_Calibrações_Localização!$B$8:$B$259,0))="PERDIDO",INDEX([1]Relação_Calibrações_Localização!F82:F332,MATCH(B58,[1]Relação_Calibrações_Localização!$B$8:$B$259,0))="NÃO LOCALIZADO"),"PERDIDO",
IF(OR(G58="",I58="",K58="",M58=""),"INDETERMINADO",IF(MAX(H58,J58,L58,N58)&lt;=0.5,"APROVADO","REPROVADO")))</f>
        <v>APROVADO</v>
      </c>
      <c r="P58" s="80">
        <v>0.4</v>
      </c>
      <c r="Q58" s="83">
        <v>3.7</v>
      </c>
      <c r="R58" s="79">
        <v>4.1000000000000005</v>
      </c>
      <c r="S58" s="81">
        <v>1</v>
      </c>
      <c r="T58" s="83">
        <v>3.3</v>
      </c>
      <c r="U58" s="79">
        <v>4.3</v>
      </c>
      <c r="V58" s="80">
        <v>1.5</v>
      </c>
      <c r="W58" s="83">
        <v>3.7</v>
      </c>
      <c r="X58" s="79">
        <v>5.2</v>
      </c>
      <c r="Y58" s="82" t="str">
        <f>IF(OR(INDEX([1]Relação_Calibrações_Localização!$F$8:$F$259,MATCH(B58,[1]Relação_Calibrações_Localização!$B$8:$B$259,0))="PERDIDO",INDEX([1]Relação_Calibrações_Localização!F82:F332,MATCH(B58,[1]Relação_Calibrações_Localização!$B$8:$B$259,0))="NÃO LOCALIZADO"),"PERDIDO",
IF(OR(Q58="",T58="",W58=""),"INDETERMINADO",IF(MAX(R58,U58,X58)&lt;=5,"APROVADO","REPROVADO")))</f>
        <v>REPROVADO</v>
      </c>
    </row>
    <row r="59" spans="1:25" x14ac:dyDescent="0.25">
      <c r="A59" s="72">
        <v>37333822</v>
      </c>
      <c r="B59" s="73" t="s">
        <v>87</v>
      </c>
      <c r="C59" s="74">
        <v>45855</v>
      </c>
      <c r="D59" s="75">
        <v>46220</v>
      </c>
      <c r="E59" s="48">
        <v>605513</v>
      </c>
      <c r="F59" s="76">
        <v>0.2</v>
      </c>
      <c r="G59" s="83">
        <v>-0.01</v>
      </c>
      <c r="H59" s="78">
        <v>0.21000000000000002</v>
      </c>
      <c r="I59" s="83">
        <v>-0.11</v>
      </c>
      <c r="J59" s="78">
        <v>0.31</v>
      </c>
      <c r="K59" s="83">
        <v>-0.21</v>
      </c>
      <c r="L59" s="78">
        <v>0.41000000000000003</v>
      </c>
      <c r="M59" s="83">
        <v>-0.21</v>
      </c>
      <c r="N59" s="79">
        <v>0.41000000000000003</v>
      </c>
      <c r="O59" s="53" t="str">
        <f>IF(OR(INDEX([1]Relação_Calibrações_Localização!$F$8:$F$259,MATCH(B59,[1]Relação_Calibrações_Localização!$B$8:$B$259,0))="PERDIDO",INDEX([1]Relação_Calibrações_Localização!F84:F334,MATCH(B59,[1]Relação_Calibrações_Localização!$B$8:$B$259,0))="NÃO LOCALIZADO"),"PERDIDO",
IF(OR(G59="",I59="",K59="",M59=""),"INDETERMINADO",IF(MAX(H59,J59,L59,N59)&lt;=0.5,"APROVADO","REPROVADO")))</f>
        <v>APROVADO</v>
      </c>
      <c r="P59" s="80">
        <v>0.4</v>
      </c>
      <c r="Q59" s="83">
        <v>2.7</v>
      </c>
      <c r="R59" s="79">
        <v>3.1</v>
      </c>
      <c r="S59" s="81">
        <v>1</v>
      </c>
      <c r="T59" s="83">
        <v>-0.5</v>
      </c>
      <c r="U59" s="79">
        <v>1.5</v>
      </c>
      <c r="V59" s="80">
        <v>1.5</v>
      </c>
      <c r="W59" s="83">
        <v>1.5</v>
      </c>
      <c r="X59" s="79">
        <v>3</v>
      </c>
      <c r="Y59" s="82" t="str">
        <f>IF(OR(INDEX([1]Relação_Calibrações_Localização!$F$8:$F$259,MATCH(B59,[1]Relação_Calibrações_Localização!$B$8:$B$259,0))="PERDIDO",INDEX([1]Relação_Calibrações_Localização!F84:F334,MATCH(B59,[1]Relação_Calibrações_Localização!$B$8:$B$259,0))="NÃO LOCALIZADO"),"PERDIDO",
IF(OR(Q59="",T59="",W59=""),"INDETERMINADO",IF(MAX(R59,U59,X59)&lt;=5,"APROVADO","REPROVADO")))</f>
        <v>APROVADO</v>
      </c>
    </row>
    <row r="60" spans="1:25" x14ac:dyDescent="0.25">
      <c r="A60" s="72">
        <v>37333842</v>
      </c>
      <c r="B60" s="73" t="s">
        <v>88</v>
      </c>
      <c r="C60" s="74">
        <v>45855</v>
      </c>
      <c r="D60" s="75">
        <v>46220</v>
      </c>
      <c r="E60" s="48">
        <v>605469</v>
      </c>
      <c r="F60" s="76">
        <v>0.2</v>
      </c>
      <c r="G60" s="83">
        <v>0.19</v>
      </c>
      <c r="H60" s="78">
        <v>0.39</v>
      </c>
      <c r="I60" s="83">
        <v>0.19</v>
      </c>
      <c r="J60" s="78">
        <v>0.39</v>
      </c>
      <c r="K60" s="83">
        <v>0.09</v>
      </c>
      <c r="L60" s="78">
        <v>0.29000000000000004</v>
      </c>
      <c r="M60" s="83">
        <v>-0.01</v>
      </c>
      <c r="N60" s="79">
        <v>0.21000000000000002</v>
      </c>
      <c r="O60" s="53" t="str">
        <f>IF(OR(INDEX([1]Relação_Calibrações_Localização!$F$8:$F$259,MATCH(B60,[1]Relação_Calibrações_Localização!$B$8:$B$259,0))="PERDIDO",INDEX([1]Relação_Calibrações_Localização!F86:F336,MATCH(B60,[1]Relação_Calibrações_Localização!$B$8:$B$259,0))="NÃO LOCALIZADO"),"PERDIDO",
IF(OR(G60="",I60="",K60="",M60=""),"INDETERMINADO",IF(MAX(H60,J60,L60,N60)&lt;=0.5,"APROVADO","REPROVADO")))</f>
        <v>APROVADO</v>
      </c>
      <c r="P60" s="80">
        <v>0.4</v>
      </c>
      <c r="Q60" s="83">
        <v>3</v>
      </c>
      <c r="R60" s="79">
        <v>3.4</v>
      </c>
      <c r="S60" s="81">
        <v>1</v>
      </c>
      <c r="T60" s="83">
        <v>3</v>
      </c>
      <c r="U60" s="79">
        <v>4</v>
      </c>
      <c r="V60" s="80">
        <v>1.5</v>
      </c>
      <c r="W60" s="83">
        <v>2.2999999999999998</v>
      </c>
      <c r="X60" s="79">
        <v>3.8</v>
      </c>
      <c r="Y60" s="82" t="str">
        <f>IF(OR(INDEX([1]Relação_Calibrações_Localização!$F$8:$F$259,MATCH(B60,[1]Relação_Calibrações_Localização!$B$8:$B$259,0))="PERDIDO",INDEX([1]Relação_Calibrações_Localização!F86:F336,MATCH(B60,[1]Relação_Calibrações_Localização!$B$8:$B$259,0))="NÃO LOCALIZADO"),"PERDIDO",
IF(OR(Q60="",T60="",W60=""),"INDETERMINADO",IF(MAX(R60,U60,X60)&lt;=5,"APROVADO","REPROVADO")))</f>
        <v>APROVADO</v>
      </c>
    </row>
    <row r="61" spans="1:25" x14ac:dyDescent="0.25">
      <c r="A61" s="72">
        <v>37334033</v>
      </c>
      <c r="B61" s="73" t="s">
        <v>89</v>
      </c>
      <c r="C61" s="74">
        <v>45855</v>
      </c>
      <c r="D61" s="75">
        <v>46220</v>
      </c>
      <c r="E61" s="48">
        <v>605532</v>
      </c>
      <c r="F61" s="76">
        <v>0.2</v>
      </c>
      <c r="G61" s="83">
        <v>-0.11</v>
      </c>
      <c r="H61" s="78">
        <v>0.31</v>
      </c>
      <c r="I61" s="83">
        <v>-0.11</v>
      </c>
      <c r="J61" s="78">
        <v>0.31</v>
      </c>
      <c r="K61" s="83">
        <v>-0.01</v>
      </c>
      <c r="L61" s="78">
        <v>0.21000000000000002</v>
      </c>
      <c r="M61" s="83">
        <v>0.19</v>
      </c>
      <c r="N61" s="79">
        <v>0.39</v>
      </c>
      <c r="O61" s="53" t="str">
        <f>IF(OR(INDEX([1]Relação_Calibrações_Localização!$F$8:$F$259,MATCH(B61,[1]Relação_Calibrações_Localização!$B$8:$B$259,0))="PERDIDO",INDEX([1]Relação_Calibrações_Localização!F87:F337,MATCH(B61,[1]Relação_Calibrações_Localização!$B$8:$B$259,0))="NÃO LOCALIZADO"),"PERDIDO",
IF(OR(G61="",I61="",K61="",M61=""),"INDETERMINADO",IF(MAX(H61,J61,L61,N61)&lt;=0.5,"APROVADO","REPROVADO")))</f>
        <v>APROVADO</v>
      </c>
      <c r="P61" s="80">
        <v>0.4</v>
      </c>
      <c r="Q61" s="83">
        <v>3</v>
      </c>
      <c r="R61" s="79">
        <v>3.4</v>
      </c>
      <c r="S61" s="81">
        <v>1</v>
      </c>
      <c r="T61" s="83">
        <v>2.2999999999999998</v>
      </c>
      <c r="U61" s="79">
        <v>3.3</v>
      </c>
      <c r="V61" s="80">
        <v>1.5</v>
      </c>
      <c r="W61" s="83">
        <v>0.5</v>
      </c>
      <c r="X61" s="79">
        <v>2</v>
      </c>
      <c r="Y61" s="82" t="str">
        <f>IF(OR(INDEX([1]Relação_Calibrações_Localização!$F$8:$F$259,MATCH(B61,[1]Relação_Calibrações_Localização!$B$8:$B$259,0))="PERDIDO",INDEX([1]Relação_Calibrações_Localização!F87:F337,MATCH(B61,[1]Relação_Calibrações_Localização!$B$8:$B$259,0))="NÃO LOCALIZADO"),"PERDIDO",
IF(OR(Q61="",T61="",W61=""),"INDETERMINADO",IF(MAX(R61,U61,X61)&lt;=5,"APROVADO","REPROVADO")))</f>
        <v>APROVADO</v>
      </c>
    </row>
    <row r="62" spans="1:25" x14ac:dyDescent="0.25">
      <c r="A62" s="72">
        <v>37334290</v>
      </c>
      <c r="B62" s="73" t="s">
        <v>90</v>
      </c>
      <c r="C62" s="74">
        <v>45855</v>
      </c>
      <c r="D62" s="75">
        <v>46220</v>
      </c>
      <c r="E62" s="48">
        <v>605541</v>
      </c>
      <c r="F62" s="76">
        <v>0.2</v>
      </c>
      <c r="G62" s="83">
        <v>0.09</v>
      </c>
      <c r="H62" s="78">
        <v>0.29000000000000004</v>
      </c>
      <c r="I62" s="83">
        <v>-0.11</v>
      </c>
      <c r="J62" s="78">
        <v>0.31</v>
      </c>
      <c r="K62" s="83">
        <v>0.09</v>
      </c>
      <c r="L62" s="78">
        <v>0.29000000000000004</v>
      </c>
      <c r="M62" s="83">
        <v>0.19</v>
      </c>
      <c r="N62" s="79">
        <v>0.39</v>
      </c>
      <c r="O62" s="53" t="str">
        <f>IF(OR(INDEX([1]Relação_Calibrações_Localização!$F$8:$F$259,MATCH(B62,[1]Relação_Calibrações_Localização!$B$8:$B$259,0))="PERDIDO",INDEX([1]Relação_Calibrações_Localização!F89:F339,MATCH(B62,[1]Relação_Calibrações_Localização!$B$8:$B$259,0))="NÃO LOCALIZADO"),"PERDIDO",
IF(OR(G62="",I62="",K62="",M62=""),"INDETERMINADO",IF(MAX(H62,J62,L62,N62)&lt;=0.5,"APROVADO","REPROVADO")))</f>
        <v>APROVADO</v>
      </c>
      <c r="P62" s="80">
        <v>0.4</v>
      </c>
      <c r="Q62" s="83">
        <v>3.7</v>
      </c>
      <c r="R62" s="79">
        <v>4.1000000000000005</v>
      </c>
      <c r="S62" s="81">
        <v>1</v>
      </c>
      <c r="T62" s="83">
        <v>1.8</v>
      </c>
      <c r="U62" s="79">
        <v>2.8</v>
      </c>
      <c r="V62" s="80">
        <v>1.5</v>
      </c>
      <c r="W62" s="83">
        <v>1.9</v>
      </c>
      <c r="X62" s="79">
        <v>3.4</v>
      </c>
      <c r="Y62" s="82" t="str">
        <f>IF(OR(INDEX([1]Relação_Calibrações_Localização!$F$8:$F$259,MATCH(B62,[1]Relação_Calibrações_Localização!$B$8:$B$259,0))="PERDIDO",INDEX([1]Relação_Calibrações_Localização!F89:F339,MATCH(B62,[1]Relação_Calibrações_Localização!$B$8:$B$259,0))="NÃO LOCALIZADO"),"PERDIDO",
IF(OR(Q62="",T62="",W62=""),"INDETERMINADO",IF(MAX(R62,U62,X62)&lt;=5,"APROVADO","REPROVADO")))</f>
        <v>APROVADO</v>
      </c>
    </row>
    <row r="63" spans="1:25" x14ac:dyDescent="0.25">
      <c r="A63" s="72">
        <v>37334304</v>
      </c>
      <c r="B63" s="73" t="s">
        <v>91</v>
      </c>
      <c r="C63" s="74">
        <v>45855</v>
      </c>
      <c r="D63" s="75">
        <v>46220</v>
      </c>
      <c r="E63" s="48">
        <v>605442</v>
      </c>
      <c r="F63" s="76">
        <v>0.2</v>
      </c>
      <c r="G63" s="83">
        <v>0.19</v>
      </c>
      <c r="H63" s="78">
        <v>0.39</v>
      </c>
      <c r="I63" s="83">
        <v>-0.11</v>
      </c>
      <c r="J63" s="78">
        <v>0.31</v>
      </c>
      <c r="K63" s="83">
        <v>-0.11</v>
      </c>
      <c r="L63" s="78">
        <v>0.31</v>
      </c>
      <c r="M63" s="83">
        <v>-0.11</v>
      </c>
      <c r="N63" s="79">
        <v>0.31</v>
      </c>
      <c r="O63" s="53" t="str">
        <f>IF(OR(INDEX([1]Relação_Calibrações_Localização!$F$8:$F$259,MATCH(B63,[1]Relação_Calibrações_Localização!$B$8:$B$259,0))="PERDIDO",INDEX([1]Relação_Calibrações_Localização!F90:F340,MATCH(B63,[1]Relação_Calibrações_Localização!$B$8:$B$259,0))="NÃO LOCALIZADO"),"PERDIDO",
IF(OR(G63="",I63="",K63="",M63=""),"INDETERMINADO",IF(MAX(H63,J63,L63,N63)&lt;=0.5,"APROVADO","REPROVADO")))</f>
        <v>APROVADO</v>
      </c>
      <c r="P63" s="80">
        <v>0.4</v>
      </c>
      <c r="Q63" s="83">
        <v>3.1</v>
      </c>
      <c r="R63" s="79">
        <v>3.5</v>
      </c>
      <c r="S63" s="81">
        <v>1</v>
      </c>
      <c r="T63" s="83">
        <v>3.5</v>
      </c>
      <c r="U63" s="79">
        <v>4.5</v>
      </c>
      <c r="V63" s="80">
        <v>1.5</v>
      </c>
      <c r="W63" s="83">
        <v>1</v>
      </c>
      <c r="X63" s="79">
        <v>2.5</v>
      </c>
      <c r="Y63" s="82" t="str">
        <f>IF(OR(INDEX([1]Relação_Calibrações_Localização!$F$8:$F$259,MATCH(B63,[1]Relação_Calibrações_Localização!$B$8:$B$259,0))="PERDIDO",INDEX([1]Relação_Calibrações_Localização!F90:F340,MATCH(B63,[1]Relação_Calibrações_Localização!$B$8:$B$259,0))="NÃO LOCALIZADO"),"PERDIDO",
IF(OR(Q63="",T63="",W63=""),"INDETERMINADO",IF(MAX(R63,U63,X63)&lt;=5,"APROVADO","REPROVADO")))</f>
        <v>APROVADO</v>
      </c>
    </row>
    <row r="64" spans="1:25" x14ac:dyDescent="0.25">
      <c r="A64" s="72">
        <v>37334306</v>
      </c>
      <c r="B64" s="73" t="s">
        <v>92</v>
      </c>
      <c r="C64" s="74">
        <v>45855</v>
      </c>
      <c r="D64" s="75">
        <v>46220</v>
      </c>
      <c r="E64" s="48">
        <v>605433</v>
      </c>
      <c r="F64" s="76">
        <v>0.2</v>
      </c>
      <c r="G64" s="83">
        <v>-0.01</v>
      </c>
      <c r="H64" s="78">
        <v>0.21000000000000002</v>
      </c>
      <c r="I64" s="83">
        <v>-0.11</v>
      </c>
      <c r="J64" s="78">
        <v>0.31</v>
      </c>
      <c r="K64" s="83">
        <v>-0.11</v>
      </c>
      <c r="L64" s="78">
        <v>0.31</v>
      </c>
      <c r="M64" s="83">
        <v>-0.21</v>
      </c>
      <c r="N64" s="79">
        <v>0.41000000000000003</v>
      </c>
      <c r="O64" s="53" t="str">
        <f>IF(OR(INDEX([1]Relação_Calibrações_Localização!$F$8:$F$259,MATCH(B64,[1]Relação_Calibrações_Localização!$B$8:$B$259,0))="PERDIDO",INDEX([1]Relação_Calibrações_Localização!F91:F341,MATCH(B64,[1]Relação_Calibrações_Localização!$B$8:$B$259,0))="NÃO LOCALIZADO"),"PERDIDO",
IF(OR(G64="",I64="",K64="",M64=""),"INDETERMINADO",IF(MAX(H64,J64,L64,N64)&lt;=0.5,"APROVADO","REPROVADO")))</f>
        <v>APROVADO</v>
      </c>
      <c r="P64" s="80">
        <v>0.4</v>
      </c>
      <c r="Q64" s="83">
        <v>2.5</v>
      </c>
      <c r="R64" s="79">
        <v>2.9</v>
      </c>
      <c r="S64" s="81">
        <v>1</v>
      </c>
      <c r="T64" s="83">
        <v>-2.9</v>
      </c>
      <c r="U64" s="79">
        <v>3.9</v>
      </c>
      <c r="V64" s="80">
        <v>1.5</v>
      </c>
      <c r="W64" s="83">
        <v>0.8</v>
      </c>
      <c r="X64" s="79">
        <v>2.2999999999999998</v>
      </c>
      <c r="Y64" s="82" t="str">
        <f>IF(OR(INDEX([1]Relação_Calibrações_Localização!$F$8:$F$259,MATCH(B64,[1]Relação_Calibrações_Localização!$B$8:$B$259,0))="PERDIDO",INDEX([1]Relação_Calibrações_Localização!F91:F341,MATCH(B64,[1]Relação_Calibrações_Localização!$B$8:$B$259,0))="NÃO LOCALIZADO"),"PERDIDO",
IF(OR(Q64="",T64="",W64=""),"INDETERMINADO",IF(MAX(R64,U64,X64)&lt;=5,"APROVADO","REPROVADO")))</f>
        <v>APROVADO</v>
      </c>
    </row>
    <row r="65" spans="1:25" x14ac:dyDescent="0.25">
      <c r="A65" s="72">
        <v>37334316</v>
      </c>
      <c r="B65" s="73" t="s">
        <v>93</v>
      </c>
      <c r="C65" s="74">
        <v>45855</v>
      </c>
      <c r="D65" s="75">
        <v>46220</v>
      </c>
      <c r="E65" s="48">
        <v>605551</v>
      </c>
      <c r="F65" s="76">
        <v>0.2</v>
      </c>
      <c r="G65" s="83">
        <v>0.09</v>
      </c>
      <c r="H65" s="78">
        <v>0.29000000000000004</v>
      </c>
      <c r="I65" s="83">
        <v>-0.01</v>
      </c>
      <c r="J65" s="78">
        <v>0.21000000000000002</v>
      </c>
      <c r="K65" s="83">
        <v>-0.11</v>
      </c>
      <c r="L65" s="78">
        <v>0.31</v>
      </c>
      <c r="M65" s="83">
        <v>-0.21</v>
      </c>
      <c r="N65" s="79">
        <v>0.41000000000000003</v>
      </c>
      <c r="O65" s="53" t="str">
        <f>IF(OR(INDEX([1]Relação_Calibrações_Localização!$F$8:$F$259,MATCH(B65,[1]Relação_Calibrações_Localização!$B$8:$B$259,0))="PERDIDO",INDEX([1]Relação_Calibrações_Localização!F92:F342,MATCH(B65,[1]Relação_Calibrações_Localização!$B$8:$B$259,0))="NÃO LOCALIZADO"),"PERDIDO",
IF(OR(G65="",I65="",K65="",M65=""),"INDETERMINADO",IF(MAX(H65,J65,L65,N65)&lt;=0.5,"APROVADO","REPROVADO")))</f>
        <v>APROVADO</v>
      </c>
      <c r="P65" s="80">
        <v>0.4</v>
      </c>
      <c r="Q65" s="83">
        <v>3.6</v>
      </c>
      <c r="R65" s="79">
        <v>4</v>
      </c>
      <c r="S65" s="81">
        <v>1</v>
      </c>
      <c r="T65" s="83">
        <v>-1</v>
      </c>
      <c r="U65" s="79">
        <v>2</v>
      </c>
      <c r="V65" s="80">
        <v>1.5</v>
      </c>
      <c r="W65" s="83">
        <v>-2.7</v>
      </c>
      <c r="X65" s="79">
        <v>4.2</v>
      </c>
      <c r="Y65" s="82" t="str">
        <f>IF(OR(INDEX([1]Relação_Calibrações_Localização!$F$8:$F$259,MATCH(B65,[1]Relação_Calibrações_Localização!$B$8:$B$259,0))="PERDIDO",INDEX([1]Relação_Calibrações_Localização!F92:F342,MATCH(B65,[1]Relação_Calibrações_Localização!$B$8:$B$259,0))="NÃO LOCALIZADO"),"PERDIDO",
IF(OR(Q65="",T65="",W65=""),"INDETERMINADO",IF(MAX(R65,U65,X65)&lt;=5,"APROVADO","REPROVADO")))</f>
        <v>APROVADO</v>
      </c>
    </row>
    <row r="66" spans="1:25" x14ac:dyDescent="0.25">
      <c r="A66" s="72">
        <v>37334322</v>
      </c>
      <c r="B66" s="73" t="s">
        <v>94</v>
      </c>
      <c r="C66" s="74">
        <v>45855</v>
      </c>
      <c r="D66" s="75">
        <v>46220</v>
      </c>
      <c r="E66" s="48">
        <v>605508</v>
      </c>
      <c r="F66" s="76">
        <v>0.2</v>
      </c>
      <c r="G66" s="83">
        <v>-0.21</v>
      </c>
      <c r="H66" s="78">
        <v>0.41000000000000003</v>
      </c>
      <c r="I66" s="83">
        <v>-0.01</v>
      </c>
      <c r="J66" s="78">
        <v>0.21000000000000002</v>
      </c>
      <c r="K66" s="83">
        <v>-0.01</v>
      </c>
      <c r="L66" s="78">
        <v>0.21000000000000002</v>
      </c>
      <c r="M66" s="83">
        <v>0.09</v>
      </c>
      <c r="N66" s="79">
        <v>0.29000000000000004</v>
      </c>
      <c r="O66" s="53" t="str">
        <f>IF(OR(INDEX([1]Relação_Calibrações_Localização!$F$8:$F$259,MATCH(B66,[1]Relação_Calibrações_Localização!$B$8:$B$259,0))="PERDIDO",INDEX([1]Relação_Calibrações_Localização!F94:F344,MATCH(B66,[1]Relação_Calibrações_Localização!$B$8:$B$259,0))="NÃO LOCALIZADO"),"PERDIDO",
IF(OR(G66="",I66="",K66="",M66=""),"INDETERMINADO",IF(MAX(H66,J66,L66,N66)&lt;=0.5,"APROVADO","REPROVADO")))</f>
        <v>APROVADO</v>
      </c>
      <c r="P66" s="80">
        <v>0.4</v>
      </c>
      <c r="Q66" s="83">
        <v>2.5</v>
      </c>
      <c r="R66" s="79">
        <v>2.9</v>
      </c>
      <c r="S66" s="81">
        <v>1</v>
      </c>
      <c r="T66" s="83">
        <v>0.9</v>
      </c>
      <c r="U66" s="79">
        <v>1.9</v>
      </c>
      <c r="V66" s="80">
        <v>1.5</v>
      </c>
      <c r="W66" s="83">
        <v>1</v>
      </c>
      <c r="X66" s="79">
        <v>2.5</v>
      </c>
      <c r="Y66" s="82" t="str">
        <f>IF(OR(INDEX([1]Relação_Calibrações_Localização!$F$8:$F$259,MATCH(B66,[1]Relação_Calibrações_Localização!$B$8:$B$259,0))="PERDIDO",INDEX([1]Relação_Calibrações_Localização!F94:F344,MATCH(B66,[1]Relação_Calibrações_Localização!$B$8:$B$259,0))="NÃO LOCALIZADO"),"PERDIDO",
IF(OR(Q66="",T66="",W66=""),"INDETERMINADO",IF(MAX(R66,U66,X66)&lt;=5,"APROVADO","REPROVADO")))</f>
        <v>APROVADO</v>
      </c>
    </row>
    <row r="67" spans="1:25" x14ac:dyDescent="0.25">
      <c r="A67" s="72">
        <v>37334328</v>
      </c>
      <c r="B67" s="73" t="s">
        <v>95</v>
      </c>
      <c r="C67" s="74">
        <v>45855</v>
      </c>
      <c r="D67" s="75">
        <v>46220</v>
      </c>
      <c r="E67" s="48">
        <v>605557</v>
      </c>
      <c r="F67" s="76">
        <v>0.2</v>
      </c>
      <c r="G67" s="83">
        <v>0.09</v>
      </c>
      <c r="H67" s="78">
        <v>0.29000000000000004</v>
      </c>
      <c r="I67" s="83">
        <v>0.09</v>
      </c>
      <c r="J67" s="78">
        <v>0.29000000000000004</v>
      </c>
      <c r="K67" s="83">
        <v>-0.01</v>
      </c>
      <c r="L67" s="78">
        <v>0.21000000000000002</v>
      </c>
      <c r="M67" s="83">
        <v>-0.11</v>
      </c>
      <c r="N67" s="79">
        <v>0.31</v>
      </c>
      <c r="O67" s="53" t="str">
        <f>IF(OR(INDEX([1]Relação_Calibrações_Localização!$F$8:$F$259,MATCH(B67,[1]Relação_Calibrações_Localização!$B$8:$B$259,0))="PERDIDO",INDEX([1]Relação_Calibrações_Localização!F95:F345,MATCH(B67,[1]Relação_Calibrações_Localização!$B$8:$B$259,0))="NÃO LOCALIZADO"),"PERDIDO",
IF(OR(G67="",I67="",K67="",M67=""),"INDETERMINADO",IF(MAX(H67,J67,L67,N67)&lt;=0.5,"APROVADO","REPROVADO")))</f>
        <v>APROVADO</v>
      </c>
      <c r="P67" s="80">
        <v>0.4</v>
      </c>
      <c r="Q67" s="83">
        <v>3.2</v>
      </c>
      <c r="R67" s="79">
        <v>3.6</v>
      </c>
      <c r="S67" s="81">
        <v>1</v>
      </c>
      <c r="T67" s="83">
        <v>-1.3</v>
      </c>
      <c r="U67" s="79">
        <v>2.2999999999999998</v>
      </c>
      <c r="V67" s="80">
        <v>1.5</v>
      </c>
      <c r="W67" s="83">
        <v>0.9</v>
      </c>
      <c r="X67" s="79">
        <v>2.4</v>
      </c>
      <c r="Y67" s="82" t="str">
        <f>IF(OR(INDEX([1]Relação_Calibrações_Localização!$F$8:$F$259,MATCH(B67,[1]Relação_Calibrações_Localização!$B$8:$B$259,0))="PERDIDO",INDEX([1]Relação_Calibrações_Localização!F95:F345,MATCH(B67,[1]Relação_Calibrações_Localização!$B$8:$B$259,0))="NÃO LOCALIZADO"),"PERDIDO",
IF(OR(Q67="",T67="",W67=""),"INDETERMINADO",IF(MAX(R67,U67,X67)&lt;=5,"APROVADO","REPROVADO")))</f>
        <v>APROVADO</v>
      </c>
    </row>
    <row r="68" spans="1:25" x14ac:dyDescent="0.25">
      <c r="A68" s="72">
        <v>37334329</v>
      </c>
      <c r="B68" s="73" t="s">
        <v>96</v>
      </c>
      <c r="C68" s="74">
        <v>45855</v>
      </c>
      <c r="D68" s="75">
        <v>46220</v>
      </c>
      <c r="E68" s="48">
        <v>605463</v>
      </c>
      <c r="F68" s="76">
        <v>0.2</v>
      </c>
      <c r="G68" s="83">
        <v>-0.01</v>
      </c>
      <c r="H68" s="78">
        <v>0.21000000000000002</v>
      </c>
      <c r="I68" s="83">
        <v>-0.01</v>
      </c>
      <c r="J68" s="78">
        <v>0.21000000000000002</v>
      </c>
      <c r="K68" s="83">
        <v>-0.11</v>
      </c>
      <c r="L68" s="78">
        <v>0.31</v>
      </c>
      <c r="M68" s="83">
        <v>-0.11</v>
      </c>
      <c r="N68" s="79">
        <v>0.31</v>
      </c>
      <c r="O68" s="53" t="str">
        <f>IF(OR(INDEX([1]Relação_Calibrações_Localização!$F$8:$F$259,MATCH(B68,[1]Relação_Calibrações_Localização!$B$8:$B$259,0))="PERDIDO",INDEX([1]Relação_Calibrações_Localização!F96:F346,MATCH(B68,[1]Relação_Calibrações_Localização!$B$8:$B$259,0))="NÃO LOCALIZADO"),"PERDIDO",
IF(OR(G68="",I68="",K68="",M68=""),"INDETERMINADO",IF(MAX(H68,J68,L68,N68)&lt;=0.5,"APROVADO","REPROVADO")))</f>
        <v>APROVADO</v>
      </c>
      <c r="P68" s="80">
        <v>0.4</v>
      </c>
      <c r="Q68" s="83">
        <v>3.1</v>
      </c>
      <c r="R68" s="79">
        <v>3.5</v>
      </c>
      <c r="S68" s="81">
        <v>1</v>
      </c>
      <c r="T68" s="83">
        <v>3</v>
      </c>
      <c r="U68" s="79">
        <v>4</v>
      </c>
      <c r="V68" s="80">
        <v>1.5</v>
      </c>
      <c r="W68" s="83">
        <v>2.5</v>
      </c>
      <c r="X68" s="79">
        <v>4</v>
      </c>
      <c r="Y68" s="82" t="str">
        <f>IF(OR(INDEX([1]Relação_Calibrações_Localização!$F$8:$F$259,MATCH(B68,[1]Relação_Calibrações_Localização!$B$8:$B$259,0))="PERDIDO",INDEX([1]Relação_Calibrações_Localização!F96:F346,MATCH(B68,[1]Relação_Calibrações_Localização!$B$8:$B$259,0))="NÃO LOCALIZADO"),"PERDIDO",
IF(OR(Q68="",T68="",W68=""),"INDETERMINADO",IF(MAX(R68,U68,X68)&lt;=5,"APROVADO","REPROVADO")))</f>
        <v>APROVADO</v>
      </c>
    </row>
    <row r="69" spans="1:25" x14ac:dyDescent="0.25">
      <c r="A69" s="72">
        <v>37334333</v>
      </c>
      <c r="B69" s="73" t="s">
        <v>97</v>
      </c>
      <c r="C69" s="74">
        <v>45855</v>
      </c>
      <c r="D69" s="75">
        <v>46220</v>
      </c>
      <c r="E69" s="48">
        <v>605544</v>
      </c>
      <c r="F69" s="76">
        <v>0.2</v>
      </c>
      <c r="G69" s="83">
        <v>-0.01</v>
      </c>
      <c r="H69" s="78">
        <v>0.21000000000000002</v>
      </c>
      <c r="I69" s="83">
        <v>-0.11</v>
      </c>
      <c r="J69" s="78">
        <v>0.31</v>
      </c>
      <c r="K69" s="83">
        <v>-0.11</v>
      </c>
      <c r="L69" s="78">
        <v>0.31</v>
      </c>
      <c r="M69" s="83">
        <v>-0.21</v>
      </c>
      <c r="N69" s="79">
        <v>0.41000000000000003</v>
      </c>
      <c r="O69" s="53" t="str">
        <f>IF(OR(INDEX([1]Relação_Calibrações_Localização!$F$8:$F$259,MATCH(B69,[1]Relação_Calibrações_Localização!$B$8:$B$259,0))="PERDIDO",INDEX([1]Relação_Calibrações_Localização!F97:F347,MATCH(B69,[1]Relação_Calibrações_Localização!$B$8:$B$259,0))="NÃO LOCALIZADO"),"PERDIDO",
IF(OR(G69="",I69="",K69="",M69=""),"INDETERMINADO",IF(MAX(H69,J69,L69,N69)&lt;=0.5,"APROVADO","REPROVADO")))</f>
        <v>APROVADO</v>
      </c>
      <c r="P69" s="80">
        <v>0.4</v>
      </c>
      <c r="Q69" s="83">
        <v>2.6</v>
      </c>
      <c r="R69" s="79">
        <v>3</v>
      </c>
      <c r="S69" s="81">
        <v>1</v>
      </c>
      <c r="T69" s="83">
        <v>1.1000000000000001</v>
      </c>
      <c r="U69" s="79">
        <v>2.1</v>
      </c>
      <c r="V69" s="80">
        <v>1.5</v>
      </c>
      <c r="W69" s="83">
        <v>1.8</v>
      </c>
      <c r="X69" s="79">
        <v>3.3</v>
      </c>
      <c r="Y69" s="82" t="str">
        <f>IF(OR(INDEX([1]Relação_Calibrações_Localização!$F$8:$F$259,MATCH(B69,[1]Relação_Calibrações_Localização!$B$8:$B$259,0))="PERDIDO",INDEX([1]Relação_Calibrações_Localização!F97:F347,MATCH(B69,[1]Relação_Calibrações_Localização!$B$8:$B$259,0))="NÃO LOCALIZADO"),"PERDIDO",
IF(OR(Q69="",T69="",W69=""),"INDETERMINADO",IF(MAX(R69,U69,X69)&lt;=5,"APROVADO","REPROVADO")))</f>
        <v>APROVADO</v>
      </c>
    </row>
    <row r="70" spans="1:25" x14ac:dyDescent="0.25">
      <c r="A70" s="72">
        <v>37334344</v>
      </c>
      <c r="B70" s="73" t="s">
        <v>98</v>
      </c>
      <c r="C70" s="74">
        <v>45855</v>
      </c>
      <c r="D70" s="75">
        <v>46220</v>
      </c>
      <c r="E70" s="48">
        <v>605554</v>
      </c>
      <c r="F70" s="76">
        <v>0.2</v>
      </c>
      <c r="G70" s="83">
        <v>-0.21</v>
      </c>
      <c r="H70" s="78">
        <v>0.41000000000000003</v>
      </c>
      <c r="I70" s="83">
        <v>-0.11</v>
      </c>
      <c r="J70" s="78">
        <v>0.31</v>
      </c>
      <c r="K70" s="83">
        <v>-0.11</v>
      </c>
      <c r="L70" s="78">
        <v>0.31</v>
      </c>
      <c r="M70" s="83">
        <v>-0.01</v>
      </c>
      <c r="N70" s="79">
        <v>0.21000000000000002</v>
      </c>
      <c r="O70" s="53" t="str">
        <f>IF(OR(INDEX([1]Relação_Calibrações_Localização!$F$8:$F$259,MATCH(B70,[1]Relação_Calibrações_Localização!$B$8:$B$259,0))="PERDIDO",INDEX([1]Relação_Calibrações_Localização!F98:F348,MATCH(B70,[1]Relação_Calibrações_Localização!$B$8:$B$259,0))="NÃO LOCALIZADO"),"PERDIDO",
IF(OR(G70="",I70="",K70="",M70=""),"INDETERMINADO",IF(MAX(H70,J70,L70,N70)&lt;=0.5,"APROVADO","REPROVADO")))</f>
        <v>APROVADO</v>
      </c>
      <c r="P70" s="80">
        <v>0.4</v>
      </c>
      <c r="Q70" s="83">
        <v>3.2</v>
      </c>
      <c r="R70" s="79">
        <v>3.6</v>
      </c>
      <c r="S70" s="81">
        <v>1</v>
      </c>
      <c r="T70" s="83">
        <v>2.8</v>
      </c>
      <c r="U70" s="79">
        <v>3.8</v>
      </c>
      <c r="V70" s="80">
        <v>1.5</v>
      </c>
      <c r="W70" s="83">
        <v>2.2000000000000002</v>
      </c>
      <c r="X70" s="79">
        <v>3.7</v>
      </c>
      <c r="Y70" s="82" t="str">
        <f>IF(OR(INDEX([1]Relação_Calibrações_Localização!$F$8:$F$259,MATCH(B70,[1]Relação_Calibrações_Localização!$B$8:$B$259,0))="PERDIDO",INDEX([1]Relação_Calibrações_Localização!F98:F348,MATCH(B70,[1]Relação_Calibrações_Localização!$B$8:$B$259,0))="NÃO LOCALIZADO"),"PERDIDO",
IF(OR(Q70="",T70="",W70=""),"INDETERMINADO",IF(MAX(R70,U70,X70)&lt;=5,"APROVADO","REPROVADO")))</f>
        <v>APROVADO</v>
      </c>
    </row>
    <row r="71" spans="1:25" x14ac:dyDescent="0.25">
      <c r="A71" s="72">
        <v>37334353</v>
      </c>
      <c r="B71" s="73" t="s">
        <v>99</v>
      </c>
      <c r="C71" s="74">
        <v>45855</v>
      </c>
      <c r="D71" s="75">
        <v>46220</v>
      </c>
      <c r="E71" s="48">
        <v>605470</v>
      </c>
      <c r="F71" s="76">
        <v>0.2</v>
      </c>
      <c r="G71" s="83">
        <v>-0.01</v>
      </c>
      <c r="H71" s="78">
        <v>0.21000000000000002</v>
      </c>
      <c r="I71" s="83">
        <v>-0.01</v>
      </c>
      <c r="J71" s="78">
        <v>0.21000000000000002</v>
      </c>
      <c r="K71" s="83">
        <v>-0.11</v>
      </c>
      <c r="L71" s="78">
        <v>0.31</v>
      </c>
      <c r="M71" s="83">
        <v>-0.11</v>
      </c>
      <c r="N71" s="79">
        <v>0.31</v>
      </c>
      <c r="O71" s="53" t="str">
        <f>IF(OR(INDEX([1]Relação_Calibrações_Localização!$F$8:$F$259,MATCH(B71,[1]Relação_Calibrações_Localização!$B$8:$B$259,0))="PERDIDO",INDEX([1]Relação_Calibrações_Localização!F100:F350,MATCH(B71,[1]Relação_Calibrações_Localização!$B$8:$B$259,0))="NÃO LOCALIZADO"),"PERDIDO",
IF(OR(G71="",I71="",K71="",M71=""),"INDETERMINADO",IF(MAX(H71,J71,L71,N71)&lt;=0.5,"APROVADO","REPROVADO")))</f>
        <v>APROVADO</v>
      </c>
      <c r="P71" s="80">
        <v>0.4</v>
      </c>
      <c r="Q71" s="83">
        <v>3.2</v>
      </c>
      <c r="R71" s="79">
        <v>3.6</v>
      </c>
      <c r="S71" s="81">
        <v>1</v>
      </c>
      <c r="T71" s="83">
        <v>2.8</v>
      </c>
      <c r="U71" s="79">
        <v>3.8</v>
      </c>
      <c r="V71" s="80">
        <v>1.5</v>
      </c>
      <c r="W71" s="83">
        <v>0.5</v>
      </c>
      <c r="X71" s="79">
        <v>2</v>
      </c>
      <c r="Y71" s="82" t="str">
        <f>IF(OR(INDEX([1]Relação_Calibrações_Localização!$F$8:$F$259,MATCH(B71,[1]Relação_Calibrações_Localização!$B$8:$B$259,0))="PERDIDO",INDEX([1]Relação_Calibrações_Localização!F100:F350,MATCH(B71,[1]Relação_Calibrações_Localização!$B$8:$B$259,0))="NÃO LOCALIZADO"),"PERDIDO",
IF(OR(Q71="",T71="",W71=""),"INDETERMINADO",IF(MAX(R71,U71,X71)&lt;=5,"APROVADO","REPROVADO")))</f>
        <v>APROVADO</v>
      </c>
    </row>
    <row r="72" spans="1:25" x14ac:dyDescent="0.25">
      <c r="A72" s="72">
        <v>37334359</v>
      </c>
      <c r="B72" s="73" t="s">
        <v>100</v>
      </c>
      <c r="C72" s="74">
        <v>45855</v>
      </c>
      <c r="D72" s="75">
        <v>46220</v>
      </c>
      <c r="E72" s="48">
        <v>605496</v>
      </c>
      <c r="F72" s="76">
        <v>0.2</v>
      </c>
      <c r="G72" s="83">
        <v>-0.21</v>
      </c>
      <c r="H72" s="78">
        <v>0.41000000000000003</v>
      </c>
      <c r="I72" s="83">
        <v>-0.11</v>
      </c>
      <c r="J72" s="78">
        <v>0.31</v>
      </c>
      <c r="K72" s="83">
        <v>-0.11</v>
      </c>
      <c r="L72" s="78">
        <v>0.31</v>
      </c>
      <c r="M72" s="83">
        <v>-0.01</v>
      </c>
      <c r="N72" s="79">
        <v>0.21000000000000002</v>
      </c>
      <c r="O72" s="53" t="str">
        <f>IF(OR(INDEX([1]Relação_Calibrações_Localização!$F$8:$F$259,MATCH(B72,[1]Relação_Calibrações_Localização!$B$8:$B$259,0))="PERDIDO",INDEX([1]Relação_Calibrações_Localização!F101:F351,MATCH(B72,[1]Relação_Calibrações_Localização!$B$8:$B$259,0))="NÃO LOCALIZADO"),"PERDIDO",
IF(OR(G72="",I72="",K72="",M72=""),"INDETERMINADO",IF(MAX(H72,J72,L72,N72)&lt;=0.5,"APROVADO","REPROVADO")))</f>
        <v>APROVADO</v>
      </c>
      <c r="P72" s="80">
        <v>0.4</v>
      </c>
      <c r="Q72" s="83">
        <v>2.7</v>
      </c>
      <c r="R72" s="79">
        <v>3.1</v>
      </c>
      <c r="S72" s="81">
        <v>1</v>
      </c>
      <c r="T72" s="83">
        <v>1.5</v>
      </c>
      <c r="U72" s="79">
        <v>2.5</v>
      </c>
      <c r="V72" s="80">
        <v>1.5</v>
      </c>
      <c r="W72" s="83">
        <v>0.2</v>
      </c>
      <c r="X72" s="79">
        <v>1.7</v>
      </c>
      <c r="Y72" s="82" t="str">
        <f>IF(OR(INDEX([1]Relação_Calibrações_Localização!$F$8:$F$259,MATCH(B72,[1]Relação_Calibrações_Localização!$B$8:$B$259,0))="PERDIDO",INDEX([1]Relação_Calibrações_Localização!F101:F351,MATCH(B72,[1]Relação_Calibrações_Localização!$B$8:$B$259,0))="NÃO LOCALIZADO"),"PERDIDO",
IF(OR(Q72="",T72="",W72=""),"INDETERMINADO",IF(MAX(R72,U72,X72)&lt;=5,"APROVADO","REPROVADO")))</f>
        <v>APROVADO</v>
      </c>
    </row>
    <row r="73" spans="1:25" x14ac:dyDescent="0.25">
      <c r="A73" s="72">
        <v>37334369</v>
      </c>
      <c r="B73" s="73" t="s">
        <v>101</v>
      </c>
      <c r="C73" s="74">
        <v>45855</v>
      </c>
      <c r="D73" s="75">
        <v>46220</v>
      </c>
      <c r="E73" s="48">
        <v>605457</v>
      </c>
      <c r="F73" s="76">
        <v>0.2</v>
      </c>
      <c r="G73" s="83">
        <v>-0.11</v>
      </c>
      <c r="H73" s="78">
        <v>0.31</v>
      </c>
      <c r="I73" s="83">
        <v>-0.11</v>
      </c>
      <c r="J73" s="78">
        <v>0.31</v>
      </c>
      <c r="K73" s="83">
        <v>-0.01</v>
      </c>
      <c r="L73" s="78">
        <v>0.21000000000000002</v>
      </c>
      <c r="M73" s="83">
        <v>0.19</v>
      </c>
      <c r="N73" s="79">
        <v>0.39</v>
      </c>
      <c r="O73" s="53" t="str">
        <f>IF(OR(INDEX([1]Relação_Calibrações_Localização!$F$8:$F$259,MATCH(B73,[1]Relação_Calibrações_Localização!$B$8:$B$259,0))="PERDIDO",INDEX([1]Relação_Calibrações_Localização!F102:F352,MATCH(B73,[1]Relação_Calibrações_Localização!$B$8:$B$259,0))="NÃO LOCALIZADO"),"PERDIDO",
IF(OR(G73="",I73="",K73="",M73=""),"INDETERMINADO",IF(MAX(H73,J73,L73,N73)&lt;=0.5,"APROVADO","REPROVADO")))</f>
        <v>APROVADO</v>
      </c>
      <c r="P73" s="80">
        <v>0.4</v>
      </c>
      <c r="Q73" s="83">
        <v>2.1</v>
      </c>
      <c r="R73" s="79">
        <v>2.5</v>
      </c>
      <c r="S73" s="81">
        <v>1</v>
      </c>
      <c r="T73" s="83">
        <v>3.2</v>
      </c>
      <c r="U73" s="79">
        <v>4.2</v>
      </c>
      <c r="V73" s="80">
        <v>1.5</v>
      </c>
      <c r="W73" s="83">
        <v>3.1</v>
      </c>
      <c r="X73" s="79">
        <v>4.5999999999999996</v>
      </c>
      <c r="Y73" s="82" t="str">
        <f>IF(OR(INDEX([1]Relação_Calibrações_Localização!$F$8:$F$259,MATCH(B73,[1]Relação_Calibrações_Localização!$B$8:$B$259,0))="PERDIDO",INDEX([1]Relação_Calibrações_Localização!F102:F352,MATCH(B73,[1]Relação_Calibrações_Localização!$B$8:$B$259,0))="NÃO LOCALIZADO"),"PERDIDO",
IF(OR(Q73="",T73="",W73=""),"INDETERMINADO",IF(MAX(R73,U73,X73)&lt;=5,"APROVADO","REPROVADO")))</f>
        <v>APROVADO</v>
      </c>
    </row>
    <row r="74" spans="1:25" x14ac:dyDescent="0.25">
      <c r="A74" s="72">
        <v>37334399</v>
      </c>
      <c r="B74" s="73" t="s">
        <v>102</v>
      </c>
      <c r="C74" s="74">
        <v>45855</v>
      </c>
      <c r="D74" s="75">
        <v>46220</v>
      </c>
      <c r="E74" s="48">
        <v>605458</v>
      </c>
      <c r="F74" s="76">
        <v>0.2</v>
      </c>
      <c r="G74" s="83">
        <v>-0.11</v>
      </c>
      <c r="H74" s="78">
        <v>0.31</v>
      </c>
      <c r="I74" s="83">
        <v>-0.11</v>
      </c>
      <c r="J74" s="78">
        <v>0.31</v>
      </c>
      <c r="K74" s="83">
        <v>-0.21</v>
      </c>
      <c r="L74" s="78">
        <v>0.41000000000000003</v>
      </c>
      <c r="M74" s="83">
        <v>-0.31</v>
      </c>
      <c r="N74" s="79">
        <v>0.51</v>
      </c>
      <c r="O74" s="53" t="str">
        <f>IF(OR(INDEX([1]Relação_Calibrações_Localização!$F$8:$F$259,MATCH(B74,[1]Relação_Calibrações_Localização!$B$8:$B$259,0))="PERDIDO",INDEX([1]Relação_Calibrações_Localização!F104:F354,MATCH(B74,[1]Relação_Calibrações_Localização!$B$8:$B$259,0))="NÃO LOCALIZADO"),"PERDIDO",
IF(OR(G74="",I74="",K74="",M74=""),"INDETERMINADO",IF(MAX(H74,J74,L74,N74)&lt;=0.5,"APROVADO","REPROVADO")))</f>
        <v>REPROVADO</v>
      </c>
      <c r="P74" s="80">
        <v>0.4</v>
      </c>
      <c r="Q74" s="83">
        <v>3.1</v>
      </c>
      <c r="R74" s="79">
        <v>3.5</v>
      </c>
      <c r="S74" s="81">
        <v>1</v>
      </c>
      <c r="T74" s="83">
        <v>-0.7</v>
      </c>
      <c r="U74" s="79">
        <v>1.7</v>
      </c>
      <c r="V74" s="80">
        <v>1.5</v>
      </c>
      <c r="W74" s="83">
        <v>0.7</v>
      </c>
      <c r="X74" s="79">
        <v>2.2000000000000002</v>
      </c>
      <c r="Y74" s="82" t="str">
        <f>IF(OR(INDEX([1]Relação_Calibrações_Localização!$F$8:$F$259,MATCH(B74,[1]Relação_Calibrações_Localização!$B$8:$B$259,0))="PERDIDO",INDEX([1]Relação_Calibrações_Localização!F104:F354,MATCH(B74,[1]Relação_Calibrações_Localização!$B$8:$B$259,0))="NÃO LOCALIZADO"),"PERDIDO",
IF(OR(Q74="",T74="",W74=""),"INDETERMINADO",IF(MAX(R74,U74,X74)&lt;=5,"APROVADO","REPROVADO")))</f>
        <v>APROVADO</v>
      </c>
    </row>
    <row r="75" spans="1:25" x14ac:dyDescent="0.25">
      <c r="A75" s="72">
        <v>37334432</v>
      </c>
      <c r="B75" s="73" t="s">
        <v>103</v>
      </c>
      <c r="C75" s="74">
        <v>45855</v>
      </c>
      <c r="D75" s="75">
        <v>46220</v>
      </c>
      <c r="E75" s="48">
        <v>605468</v>
      </c>
      <c r="F75" s="76">
        <v>0.2</v>
      </c>
      <c r="G75" s="83">
        <v>-0.01</v>
      </c>
      <c r="H75" s="78">
        <v>0.21000000000000002</v>
      </c>
      <c r="I75" s="83">
        <v>0.09</v>
      </c>
      <c r="J75" s="78">
        <v>0.29000000000000004</v>
      </c>
      <c r="K75" s="83">
        <v>0.19</v>
      </c>
      <c r="L75" s="78">
        <v>0.39</v>
      </c>
      <c r="M75" s="83">
        <v>0.19</v>
      </c>
      <c r="N75" s="79">
        <v>0.39</v>
      </c>
      <c r="O75" s="53" t="str">
        <f>IF(OR(INDEX([1]Relação_Calibrações_Localização!$F$8:$F$259,MATCH(B75,[1]Relação_Calibrações_Localização!$B$8:$B$259,0))="PERDIDO",INDEX([1]Relação_Calibrações_Localização!F105:F355,MATCH(B75,[1]Relação_Calibrações_Localização!$B$8:$B$259,0))="NÃO LOCALIZADO"),"PERDIDO",
IF(OR(G75="",I75="",K75="",M75=""),"INDETERMINADO",IF(MAX(H75,J75,L75,N75)&lt;=0.5,"APROVADO","REPROVADO")))</f>
        <v>APROVADO</v>
      </c>
      <c r="P75" s="80">
        <v>0.4</v>
      </c>
      <c r="Q75" s="83">
        <v>3.1</v>
      </c>
      <c r="R75" s="79">
        <v>3.5</v>
      </c>
      <c r="S75" s="81">
        <v>1</v>
      </c>
      <c r="T75" s="83">
        <v>2.8</v>
      </c>
      <c r="U75" s="79">
        <v>3.8</v>
      </c>
      <c r="V75" s="80">
        <v>1.5</v>
      </c>
      <c r="W75" s="83">
        <v>2.2000000000000002</v>
      </c>
      <c r="X75" s="79">
        <v>3.7</v>
      </c>
      <c r="Y75" s="82" t="str">
        <f>IF(OR(INDEX([1]Relação_Calibrações_Localização!$F$8:$F$259,MATCH(B75,[1]Relação_Calibrações_Localização!$B$8:$B$259,0))="PERDIDO",INDEX([1]Relação_Calibrações_Localização!F105:F355,MATCH(B75,[1]Relação_Calibrações_Localização!$B$8:$B$259,0))="NÃO LOCALIZADO"),"PERDIDO",
IF(OR(Q75="",T75="",W75=""),"INDETERMINADO",IF(MAX(R75,U75,X75)&lt;=5,"APROVADO","REPROVADO")))</f>
        <v>APROVADO</v>
      </c>
    </row>
    <row r="76" spans="1:25" x14ac:dyDescent="0.25">
      <c r="A76" s="72">
        <v>37334434</v>
      </c>
      <c r="B76" s="73" t="s">
        <v>104</v>
      </c>
      <c r="C76" s="74">
        <v>45855</v>
      </c>
      <c r="D76" s="75">
        <v>46220</v>
      </c>
      <c r="E76" s="48">
        <v>605553</v>
      </c>
      <c r="F76" s="76">
        <v>0.2</v>
      </c>
      <c r="G76" s="83">
        <v>-0.01</v>
      </c>
      <c r="H76" s="78">
        <v>0.21000000000000002</v>
      </c>
      <c r="I76" s="83">
        <v>-0.01</v>
      </c>
      <c r="J76" s="78">
        <v>0.21000000000000002</v>
      </c>
      <c r="K76" s="83">
        <v>0.09</v>
      </c>
      <c r="L76" s="78">
        <v>0.29000000000000004</v>
      </c>
      <c r="M76" s="83">
        <v>0.19</v>
      </c>
      <c r="N76" s="79">
        <v>0.39</v>
      </c>
      <c r="O76" s="53" t="str">
        <f>IF(OR(INDEX([1]Relação_Calibrações_Localização!$F$8:$F$259,MATCH(B76,[1]Relação_Calibrações_Localização!$B$8:$B$259,0))="PERDIDO",INDEX([1]Relação_Calibrações_Localização!F107:F357,MATCH(B76,[1]Relação_Calibrações_Localização!$B$8:$B$259,0))="NÃO LOCALIZADO"),"PERDIDO",
IF(OR(G76="",I76="",K76="",M76=""),"INDETERMINADO",IF(MAX(H76,J76,L76,N76)&lt;=0.5,"APROVADO","REPROVADO")))</f>
        <v>APROVADO</v>
      </c>
      <c r="P76" s="80">
        <v>0.4</v>
      </c>
      <c r="Q76" s="83">
        <v>2.7</v>
      </c>
      <c r="R76" s="79">
        <v>3.1</v>
      </c>
      <c r="S76" s="81">
        <v>1</v>
      </c>
      <c r="T76" s="83">
        <v>1.8</v>
      </c>
      <c r="U76" s="79">
        <v>2.8</v>
      </c>
      <c r="V76" s="80">
        <v>1.5</v>
      </c>
      <c r="W76" s="83">
        <v>0.9</v>
      </c>
      <c r="X76" s="79">
        <v>2.4</v>
      </c>
      <c r="Y76" s="82" t="str">
        <f>IF(OR(INDEX([1]Relação_Calibrações_Localização!$F$8:$F$259,MATCH(B76,[1]Relação_Calibrações_Localização!$B$8:$B$259,0))="PERDIDO",INDEX([1]Relação_Calibrações_Localização!F107:F357,MATCH(B76,[1]Relação_Calibrações_Localização!$B$8:$B$259,0))="NÃO LOCALIZADO"),"PERDIDO",
IF(OR(Q76="",T76="",W76=""),"INDETERMINADO",IF(MAX(R76,U76,X76)&lt;=5,"APROVADO","REPROVADO")))</f>
        <v>APROVADO</v>
      </c>
    </row>
    <row r="77" spans="1:25" x14ac:dyDescent="0.25">
      <c r="A77" s="72">
        <v>37334457</v>
      </c>
      <c r="B77" s="73" t="s">
        <v>105</v>
      </c>
      <c r="C77" s="74">
        <v>45855</v>
      </c>
      <c r="D77" s="75">
        <v>46220</v>
      </c>
      <c r="E77" s="48">
        <v>605438</v>
      </c>
      <c r="F77" s="76">
        <v>0.2</v>
      </c>
      <c r="G77" s="83">
        <v>0.09</v>
      </c>
      <c r="H77" s="78">
        <v>0.29000000000000004</v>
      </c>
      <c r="I77" s="83">
        <v>-0.01</v>
      </c>
      <c r="J77" s="78">
        <v>0.21000000000000002</v>
      </c>
      <c r="K77" s="83">
        <v>-0.11</v>
      </c>
      <c r="L77" s="78">
        <v>0.31</v>
      </c>
      <c r="M77" s="83">
        <v>-0.11</v>
      </c>
      <c r="N77" s="79">
        <v>0.31</v>
      </c>
      <c r="O77" s="53" t="str">
        <f>IF(OR(INDEX([1]Relação_Calibrações_Localização!$F$8:$F$259,MATCH(B77,[1]Relação_Calibrações_Localização!$B$8:$B$259,0))="PERDIDO",INDEX([1]Relação_Calibrações_Localização!F112:F362,MATCH(B77,[1]Relação_Calibrações_Localização!$B$8:$B$259,0))="NÃO LOCALIZADO"),"PERDIDO",
IF(OR(G77="",I77="",K77="",M77=""),"INDETERMINADO",IF(MAX(H77,J77,L77,N77)&lt;=0.5,"APROVADO","REPROVADO")))</f>
        <v>APROVADO</v>
      </c>
      <c r="P77" s="80">
        <v>0.4</v>
      </c>
      <c r="Q77" s="83">
        <v>3.6</v>
      </c>
      <c r="R77" s="79">
        <v>4</v>
      </c>
      <c r="S77" s="81">
        <v>1</v>
      </c>
      <c r="T77" s="83">
        <v>3.2</v>
      </c>
      <c r="U77" s="79">
        <v>4.2</v>
      </c>
      <c r="V77" s="80">
        <v>1.5</v>
      </c>
      <c r="W77" s="83">
        <v>1.3</v>
      </c>
      <c r="X77" s="79">
        <v>2.8</v>
      </c>
      <c r="Y77" s="82" t="str">
        <f>IF(OR(INDEX([1]Relação_Calibrações_Localização!$F$8:$F$259,MATCH(B77,[1]Relação_Calibrações_Localização!$B$8:$B$259,0))="PERDIDO",INDEX([1]Relação_Calibrações_Localização!F112:F362,MATCH(B77,[1]Relação_Calibrações_Localização!$B$8:$B$259,0))="NÃO LOCALIZADO"),"PERDIDO",
IF(OR(Q77="",T77="",W77=""),"INDETERMINADO",IF(MAX(R77,U77,X77)&lt;=5,"APROVADO","REPROVADO")))</f>
        <v>APROVADO</v>
      </c>
    </row>
    <row r="78" spans="1:25" x14ac:dyDescent="0.25">
      <c r="A78" s="72">
        <v>37334500</v>
      </c>
      <c r="B78" s="73" t="s">
        <v>106</v>
      </c>
      <c r="C78" s="74">
        <v>45855</v>
      </c>
      <c r="D78" s="75">
        <v>46220</v>
      </c>
      <c r="E78" s="48">
        <v>605542</v>
      </c>
      <c r="F78" s="76">
        <v>0.2</v>
      </c>
      <c r="G78" s="83">
        <v>0.19</v>
      </c>
      <c r="H78" s="78">
        <v>0.39</v>
      </c>
      <c r="I78" s="83">
        <v>0.09</v>
      </c>
      <c r="J78" s="78">
        <v>0.29000000000000004</v>
      </c>
      <c r="K78" s="83">
        <v>0.09</v>
      </c>
      <c r="L78" s="78">
        <v>0.29000000000000004</v>
      </c>
      <c r="M78" s="83">
        <v>-0.01</v>
      </c>
      <c r="N78" s="79">
        <v>0.21000000000000002</v>
      </c>
      <c r="O78" s="53" t="str">
        <f>IF(OR(INDEX([1]Relação_Calibrações_Localização!$F$8:$F$259,MATCH(B78,[1]Relação_Calibrações_Localização!$B$8:$B$259,0))="PERDIDO",INDEX([1]Relação_Calibrações_Localização!F116:F366,MATCH(B78,[1]Relação_Calibrações_Localização!$B$8:$B$259,0))="NÃO LOCALIZADO"),"PERDIDO",
IF(OR(G78="",I78="",K78="",M78=""),"INDETERMINADO",IF(MAX(H78,J78,L78,N78)&lt;=0.5,"APROVADO","REPROVADO")))</f>
        <v>APROVADO</v>
      </c>
      <c r="P78" s="80">
        <v>0.4</v>
      </c>
      <c r="Q78" s="83">
        <v>3.1</v>
      </c>
      <c r="R78" s="79">
        <v>3.5</v>
      </c>
      <c r="S78" s="81">
        <v>1</v>
      </c>
      <c r="T78" s="83">
        <v>2.5</v>
      </c>
      <c r="U78" s="79">
        <v>3.5</v>
      </c>
      <c r="V78" s="80">
        <v>1.5</v>
      </c>
      <c r="W78" s="83">
        <v>1.4</v>
      </c>
      <c r="X78" s="79">
        <v>2.9</v>
      </c>
      <c r="Y78" s="82" t="str">
        <f>IF(OR(INDEX([1]Relação_Calibrações_Localização!$F$8:$F$259,MATCH(B78,[1]Relação_Calibrações_Localização!$B$8:$B$259,0))="PERDIDO",INDEX([1]Relação_Calibrações_Localização!F116:F366,MATCH(B78,[1]Relação_Calibrações_Localização!$B$8:$B$259,0))="NÃO LOCALIZADO"),"PERDIDO",
IF(OR(Q78="",T78="",W78=""),"INDETERMINADO",IF(MAX(R78,U78,X78)&lt;=5,"APROVADO","REPROVADO")))</f>
        <v>APROVADO</v>
      </c>
    </row>
    <row r="79" spans="1:25" x14ac:dyDescent="0.25">
      <c r="A79" s="72">
        <v>37334504</v>
      </c>
      <c r="B79" s="73" t="s">
        <v>107</v>
      </c>
      <c r="C79" s="74">
        <v>45855</v>
      </c>
      <c r="D79" s="75">
        <v>46220</v>
      </c>
      <c r="E79" s="48">
        <v>605515</v>
      </c>
      <c r="F79" s="76">
        <v>0.2</v>
      </c>
      <c r="G79" s="83">
        <v>-0.21</v>
      </c>
      <c r="H79" s="78">
        <v>0.41000000000000003</v>
      </c>
      <c r="I79" s="83">
        <v>-0.11</v>
      </c>
      <c r="J79" s="78">
        <v>0.31</v>
      </c>
      <c r="K79" s="83">
        <v>-0.11</v>
      </c>
      <c r="L79" s="78">
        <v>0.31</v>
      </c>
      <c r="M79" s="83">
        <v>-0.01</v>
      </c>
      <c r="N79" s="79">
        <v>0.21000000000000002</v>
      </c>
      <c r="O79" s="53" t="str">
        <f>IF(OR(INDEX([1]Relação_Calibrações_Localização!$F$8:$F$259,MATCH(B79,[1]Relação_Calibrações_Localização!$B$8:$B$259,0))="PERDIDO",INDEX([1]Relação_Calibrações_Localização!F117:F367,MATCH(B79,[1]Relação_Calibrações_Localização!$B$8:$B$259,0))="NÃO LOCALIZADO"),"PERDIDO",
IF(OR(G79="",I79="",K79="",M79=""),"INDETERMINADO",IF(MAX(H79,J79,L79,N79)&lt;=0.5,"APROVADO","REPROVADO")))</f>
        <v>APROVADO</v>
      </c>
      <c r="P79" s="80">
        <v>0.4</v>
      </c>
      <c r="Q79" s="83">
        <v>3</v>
      </c>
      <c r="R79" s="79">
        <v>3.4</v>
      </c>
      <c r="S79" s="81">
        <v>1</v>
      </c>
      <c r="T79" s="83">
        <v>2.7</v>
      </c>
      <c r="U79" s="79">
        <v>3.7</v>
      </c>
      <c r="V79" s="80">
        <v>1.5</v>
      </c>
      <c r="W79" s="83">
        <v>2.2999999999999998</v>
      </c>
      <c r="X79" s="79">
        <v>3.8</v>
      </c>
      <c r="Y79" s="82" t="str">
        <f>IF(OR(INDEX([1]Relação_Calibrações_Localização!$F$8:$F$259,MATCH(B79,[1]Relação_Calibrações_Localização!$B$8:$B$259,0))="PERDIDO",INDEX([1]Relação_Calibrações_Localização!F117:F367,MATCH(B79,[1]Relação_Calibrações_Localização!$B$8:$B$259,0))="NÃO LOCALIZADO"),"PERDIDO",
IF(OR(Q79="",T79="",W79=""),"INDETERMINADO",IF(MAX(R79,U79,X79)&lt;=5,"APROVADO","REPROVADO")))</f>
        <v>APROVADO</v>
      </c>
    </row>
    <row r="80" spans="1:25" x14ac:dyDescent="0.25">
      <c r="A80" s="72">
        <v>37334507</v>
      </c>
      <c r="B80" s="73" t="s">
        <v>108</v>
      </c>
      <c r="C80" s="74">
        <v>45855</v>
      </c>
      <c r="D80" s="75">
        <v>46220</v>
      </c>
      <c r="E80" s="48">
        <v>605545</v>
      </c>
      <c r="F80" s="76">
        <v>0.2</v>
      </c>
      <c r="G80" s="83">
        <v>-0.11</v>
      </c>
      <c r="H80" s="78">
        <v>0.31</v>
      </c>
      <c r="I80" s="83">
        <v>-0.11</v>
      </c>
      <c r="J80" s="78">
        <v>0.31</v>
      </c>
      <c r="K80" s="83">
        <v>-0.21</v>
      </c>
      <c r="L80" s="78">
        <v>0.41000000000000003</v>
      </c>
      <c r="M80" s="83">
        <v>-0.31</v>
      </c>
      <c r="N80" s="79">
        <v>0.51</v>
      </c>
      <c r="O80" s="53" t="str">
        <f>IF(OR(INDEX([1]Relação_Calibrações_Localização!$F$8:$F$259,MATCH(B80,[1]Relação_Calibrações_Localização!$B$8:$B$259,0))="PERDIDO",INDEX([1]Relação_Calibrações_Localização!F118:F368,MATCH(B80,[1]Relação_Calibrações_Localização!$B$8:$B$259,0))="NÃO LOCALIZADO"),"PERDIDO",
IF(OR(G80="",I80="",K80="",M80=""),"INDETERMINADO",IF(MAX(H80,J80,L80,N80)&lt;=0.5,"APROVADO","REPROVADO")))</f>
        <v>REPROVADO</v>
      </c>
      <c r="P80" s="80">
        <v>0.4</v>
      </c>
      <c r="Q80" s="83">
        <v>2.5</v>
      </c>
      <c r="R80" s="79">
        <v>2.9</v>
      </c>
      <c r="S80" s="81">
        <v>1</v>
      </c>
      <c r="T80" s="83">
        <v>0.1</v>
      </c>
      <c r="U80" s="79">
        <v>1.1000000000000001</v>
      </c>
      <c r="V80" s="80">
        <v>1.5</v>
      </c>
      <c r="W80" s="83">
        <v>0.1</v>
      </c>
      <c r="X80" s="79">
        <v>1.6</v>
      </c>
      <c r="Y80" s="82" t="str">
        <f>IF(OR(INDEX([1]Relação_Calibrações_Localização!$F$8:$F$259,MATCH(B80,[1]Relação_Calibrações_Localização!$B$8:$B$259,0))="PERDIDO",INDEX([1]Relação_Calibrações_Localização!F118:F368,MATCH(B80,[1]Relação_Calibrações_Localização!$B$8:$B$259,0))="NÃO LOCALIZADO"),"PERDIDO",
IF(OR(Q80="",T80="",W80=""),"INDETERMINADO",IF(MAX(R80,U80,X80)&lt;=5,"APROVADO","REPROVADO")))</f>
        <v>APROVADO</v>
      </c>
    </row>
    <row r="81" spans="1:25" x14ac:dyDescent="0.25">
      <c r="A81" s="72">
        <v>37334519</v>
      </c>
      <c r="B81" s="73" t="s">
        <v>109</v>
      </c>
      <c r="C81" s="74">
        <v>45855</v>
      </c>
      <c r="D81" s="75">
        <v>46220</v>
      </c>
      <c r="E81" s="48">
        <v>605465</v>
      </c>
      <c r="F81" s="76">
        <v>0.2</v>
      </c>
      <c r="G81" s="83">
        <v>0.19</v>
      </c>
      <c r="H81" s="78">
        <v>0.39</v>
      </c>
      <c r="I81" s="83">
        <v>0.09</v>
      </c>
      <c r="J81" s="78">
        <v>0.29000000000000004</v>
      </c>
      <c r="K81" s="83">
        <v>-0.11</v>
      </c>
      <c r="L81" s="78">
        <v>0.31</v>
      </c>
      <c r="M81" s="83">
        <v>-0.11</v>
      </c>
      <c r="N81" s="79">
        <v>0.31</v>
      </c>
      <c r="O81" s="53" t="s">
        <v>47</v>
      </c>
      <c r="P81" s="80">
        <v>0.4</v>
      </c>
      <c r="Q81" s="83">
        <v>3.3</v>
      </c>
      <c r="R81" s="79">
        <v>3.6999999999999997</v>
      </c>
      <c r="S81" s="81">
        <v>1</v>
      </c>
      <c r="T81" s="83">
        <v>3</v>
      </c>
      <c r="U81" s="79">
        <v>4</v>
      </c>
      <c r="V81" s="80">
        <v>1.5</v>
      </c>
      <c r="W81" s="83">
        <v>0.5</v>
      </c>
      <c r="X81" s="79">
        <v>2</v>
      </c>
      <c r="Y81" s="82" t="str">
        <f>IF(OR(INDEX([1]Relação_Calibrações_Localização!$F$8:$F$259,MATCH(B81,[1]Relação_Calibrações_Localização!$B$8:$B$259,0))="PERDIDO",INDEX([1]Relação_Calibrações_Localização!F119:F369,MATCH(B81,[1]Relação_Calibrações_Localização!$B$8:$B$259,0))="NÃO LOCALIZADO"),"PERDIDO",
IF(OR(Q81="",T81="",W81=""),"INDETERMINADO",IF(MAX(R81,U81,X81)&lt;=5,"APROVADO","REPROVADO")))</f>
        <v>APROVADO</v>
      </c>
    </row>
    <row r="82" spans="1:25" x14ac:dyDescent="0.25">
      <c r="A82" s="72">
        <v>37334570</v>
      </c>
      <c r="B82" s="73" t="s">
        <v>110</v>
      </c>
      <c r="C82" s="74">
        <v>45855</v>
      </c>
      <c r="D82" s="75">
        <v>46220</v>
      </c>
      <c r="E82" s="48">
        <v>605472</v>
      </c>
      <c r="F82" s="76">
        <v>0.2</v>
      </c>
      <c r="G82" s="83">
        <v>0.09</v>
      </c>
      <c r="H82" s="78">
        <v>0.29000000000000004</v>
      </c>
      <c r="I82" s="83">
        <v>0.09</v>
      </c>
      <c r="J82" s="78">
        <v>0.29000000000000004</v>
      </c>
      <c r="K82" s="83">
        <v>-0.01</v>
      </c>
      <c r="L82" s="78">
        <v>0.21000000000000002</v>
      </c>
      <c r="M82" s="83">
        <v>-0.11</v>
      </c>
      <c r="N82" s="79">
        <v>0.31</v>
      </c>
      <c r="O82" s="53" t="str">
        <f>IF(OR(INDEX([1]Relação_Calibrações_Localização!$F$8:$F$259,MATCH(B82,[1]Relação_Calibrações_Localização!$B$8:$B$259,0))="PERDIDO",INDEX([1]Relação_Calibrações_Localização!F120:F370,MATCH(B82,[1]Relação_Calibrações_Localização!$B$8:$B$259,0))="NÃO LOCALIZADO"),"PERDIDO",
IF(OR(G82="",I82="",K82="",M82=""),"INDETERMINADO",IF(MAX(H82,J82,L82,N82)&lt;=0.5,"APROVADO","REPROVADO")))</f>
        <v>APROVADO</v>
      </c>
      <c r="P82" s="80">
        <v>0.4</v>
      </c>
      <c r="Q82" s="83">
        <v>3.4</v>
      </c>
      <c r="R82" s="79">
        <v>3.8</v>
      </c>
      <c r="S82" s="81">
        <v>1</v>
      </c>
      <c r="T82" s="83">
        <v>3.1</v>
      </c>
      <c r="U82" s="79">
        <v>4.0999999999999996</v>
      </c>
      <c r="V82" s="80">
        <v>1.5</v>
      </c>
      <c r="W82" s="83">
        <v>1.8</v>
      </c>
      <c r="X82" s="79">
        <v>3.3</v>
      </c>
      <c r="Y82" s="82" t="str">
        <f>IF(OR(INDEX([1]Relação_Calibrações_Localização!$F$8:$F$259,MATCH(B82,[1]Relação_Calibrações_Localização!$B$8:$B$259,0))="PERDIDO",INDEX([1]Relação_Calibrações_Localização!F120:F370,MATCH(B82,[1]Relação_Calibrações_Localização!$B$8:$B$259,0))="NÃO LOCALIZADO"),"PERDIDO",
IF(OR(Q82="",T82="",W82=""),"INDETERMINADO",IF(MAX(R82,U82,X82)&lt;=5,"APROVADO","REPROVADO")))</f>
        <v>APROVADO</v>
      </c>
    </row>
    <row r="83" spans="1:25" x14ac:dyDescent="0.25">
      <c r="A83" s="72">
        <v>37334822</v>
      </c>
      <c r="B83" s="73" t="s">
        <v>111</v>
      </c>
      <c r="C83" s="74">
        <v>45855</v>
      </c>
      <c r="D83" s="75">
        <v>46220</v>
      </c>
      <c r="E83" s="48">
        <v>605502</v>
      </c>
      <c r="F83" s="76">
        <v>0.2</v>
      </c>
      <c r="G83" s="83">
        <v>-0.01</v>
      </c>
      <c r="H83" s="78">
        <v>0.21000000000000002</v>
      </c>
      <c r="I83" s="83">
        <v>0.09</v>
      </c>
      <c r="J83" s="78">
        <v>0.29000000000000004</v>
      </c>
      <c r="K83" s="83">
        <v>0.09</v>
      </c>
      <c r="L83" s="78">
        <v>0.29000000000000004</v>
      </c>
      <c r="M83" s="83">
        <v>0.19</v>
      </c>
      <c r="N83" s="79">
        <v>0.39</v>
      </c>
      <c r="O83" s="53" t="str">
        <f>IF(OR(INDEX([1]Relação_Calibrações_Localização!$F$8:$F$259,MATCH(B83,[1]Relação_Calibrações_Localização!$B$8:$B$259,0))="PERDIDO",INDEX([1]Relação_Calibrações_Localização!F121:F371,MATCH(B83,[1]Relação_Calibrações_Localização!$B$8:$B$259,0))="NÃO LOCALIZADO"),"PERDIDO",
IF(OR(G83="",I83="",K83="",M83=""),"INDETERMINADO",IF(MAX(H83,J83,L83,N83)&lt;=0.5,"APROVADO","REPROVADO")))</f>
        <v>APROVADO</v>
      </c>
      <c r="P83" s="80">
        <v>0.4</v>
      </c>
      <c r="Q83" s="83">
        <v>3.5</v>
      </c>
      <c r="R83" s="79">
        <v>3.9</v>
      </c>
      <c r="S83" s="81">
        <v>1</v>
      </c>
      <c r="T83" s="83">
        <v>0.3</v>
      </c>
      <c r="U83" s="79">
        <v>1.3</v>
      </c>
      <c r="V83" s="80">
        <v>1.5</v>
      </c>
      <c r="W83" s="83">
        <v>1.7</v>
      </c>
      <c r="X83" s="79">
        <v>3.2</v>
      </c>
      <c r="Y83" s="82" t="str">
        <f>IF(OR(INDEX([1]Relação_Calibrações_Localização!$F$8:$F$259,MATCH(B83,[1]Relação_Calibrações_Localização!$B$8:$B$259,0))="PERDIDO",INDEX([1]Relação_Calibrações_Localização!F121:F371,MATCH(B83,[1]Relação_Calibrações_Localização!$B$8:$B$259,0))="NÃO LOCALIZADO"),"PERDIDO",
IF(OR(Q83="",T83="",W83=""),"INDETERMINADO",IF(MAX(R83,U83,X83)&lt;=5,"APROVADO","REPROVADO")))</f>
        <v>APROVADO</v>
      </c>
    </row>
    <row r="84" spans="1:25" x14ac:dyDescent="0.25">
      <c r="A84" s="72">
        <v>37334847</v>
      </c>
      <c r="B84" s="73" t="s">
        <v>112</v>
      </c>
      <c r="C84" s="74">
        <v>45855</v>
      </c>
      <c r="D84" s="75">
        <v>46220</v>
      </c>
      <c r="E84" s="48">
        <v>605450</v>
      </c>
      <c r="F84" s="76">
        <v>0.2</v>
      </c>
      <c r="G84" s="83">
        <v>0.19</v>
      </c>
      <c r="H84" s="78">
        <v>0.39</v>
      </c>
      <c r="I84" s="83">
        <v>0.09</v>
      </c>
      <c r="J84" s="78">
        <v>0.29000000000000004</v>
      </c>
      <c r="K84" s="83">
        <v>0.09</v>
      </c>
      <c r="L84" s="78">
        <v>0.29000000000000004</v>
      </c>
      <c r="M84" s="83">
        <v>-0.01</v>
      </c>
      <c r="N84" s="79">
        <v>0.21000000000000002</v>
      </c>
      <c r="O84" s="53" t="str">
        <f>IF(OR(INDEX([1]Relação_Calibrações_Localização!$F$8:$F$259,MATCH(B84,[1]Relação_Calibrações_Localização!$B$8:$B$259,0))="PERDIDO",INDEX([1]Relação_Calibrações_Localização!F126:F376,MATCH(B84,[1]Relação_Calibrações_Localização!$B$8:$B$259,0))="NÃO LOCALIZADO"),"PERDIDO",
IF(OR(G84="",I84="",K84="",M84=""),"INDETERMINADO",IF(MAX(H84,J84,L84,N84)&lt;=0.5,"APROVADO","REPROVADO")))</f>
        <v>APROVADO</v>
      </c>
      <c r="P84" s="80">
        <v>0.4</v>
      </c>
      <c r="Q84" s="83">
        <v>3.8</v>
      </c>
      <c r="R84" s="79">
        <v>4.2</v>
      </c>
      <c r="S84" s="81">
        <v>1</v>
      </c>
      <c r="T84" s="83">
        <v>3.2</v>
      </c>
      <c r="U84" s="79">
        <v>4.2</v>
      </c>
      <c r="V84" s="80">
        <v>1.5</v>
      </c>
      <c r="W84" s="83">
        <v>0.9</v>
      </c>
      <c r="X84" s="79">
        <v>2.4</v>
      </c>
      <c r="Y84" s="82" t="str">
        <f>IF(OR(INDEX([1]Relação_Calibrações_Localização!$F$8:$F$259,MATCH(B84,[1]Relação_Calibrações_Localização!$B$8:$B$259,0))="PERDIDO",INDEX([1]Relação_Calibrações_Localização!F126:F376,MATCH(B84,[1]Relação_Calibrações_Localização!$B$8:$B$259,0))="NÃO LOCALIZADO"),"PERDIDO",
IF(OR(Q84="",T84="",W84=""),"INDETERMINADO",IF(MAX(R84,U84,X84)&lt;=5,"APROVADO","REPROVADO")))</f>
        <v>APROVADO</v>
      </c>
    </row>
    <row r="85" spans="1:25" x14ac:dyDescent="0.25">
      <c r="A85" s="72">
        <v>37334875</v>
      </c>
      <c r="B85" s="73" t="s">
        <v>113</v>
      </c>
      <c r="C85" s="74">
        <v>45855</v>
      </c>
      <c r="D85" s="75">
        <v>46220</v>
      </c>
      <c r="E85" s="48">
        <v>605480</v>
      </c>
      <c r="F85" s="76">
        <v>0.2</v>
      </c>
      <c r="G85" s="83">
        <v>0.09</v>
      </c>
      <c r="H85" s="78">
        <v>0.29000000000000004</v>
      </c>
      <c r="I85" s="83">
        <v>0.09</v>
      </c>
      <c r="J85" s="78">
        <v>0.29000000000000004</v>
      </c>
      <c r="K85" s="83">
        <v>-0.01</v>
      </c>
      <c r="L85" s="78">
        <v>0.21000000000000002</v>
      </c>
      <c r="M85" s="83">
        <v>-0.21</v>
      </c>
      <c r="N85" s="79">
        <v>0.41000000000000003</v>
      </c>
      <c r="O85" s="53" t="s">
        <v>47</v>
      </c>
      <c r="P85" s="80">
        <v>0.4</v>
      </c>
      <c r="Q85" s="83">
        <v>3</v>
      </c>
      <c r="R85" s="79">
        <v>3.4</v>
      </c>
      <c r="S85" s="81">
        <v>1</v>
      </c>
      <c r="T85" s="83">
        <v>2.5</v>
      </c>
      <c r="U85" s="79">
        <v>3.5</v>
      </c>
      <c r="V85" s="80">
        <v>1.5</v>
      </c>
      <c r="W85" s="83">
        <v>0</v>
      </c>
      <c r="X85" s="79">
        <v>1.5</v>
      </c>
      <c r="Y85" s="82" t="str">
        <f>IF(OR(INDEX([1]Relação_Calibrações_Localização!$F$8:$F$259,MATCH(B85,[1]Relação_Calibrações_Localização!$B$8:$B$259,0))="PERDIDO",INDEX([1]Relação_Calibrações_Localização!F127:F377,MATCH(B85,[1]Relação_Calibrações_Localização!$B$8:$B$259,0))="NÃO LOCALIZADO"),"PERDIDO",
IF(OR(Q85="",T85="",W85=""),"INDETERMINADO",IF(MAX(R85,U85,X85)&lt;=5,"APROVADO","REPROVADO")))</f>
        <v>APROVADO</v>
      </c>
    </row>
    <row r="86" spans="1:25" x14ac:dyDescent="0.25">
      <c r="A86" s="72">
        <v>37334894</v>
      </c>
      <c r="B86" s="73" t="s">
        <v>114</v>
      </c>
      <c r="C86" s="74">
        <v>45855</v>
      </c>
      <c r="D86" s="75">
        <v>46220</v>
      </c>
      <c r="E86" s="48">
        <v>605421</v>
      </c>
      <c r="F86" s="76">
        <v>0.2</v>
      </c>
      <c r="G86" s="83">
        <v>-0.01</v>
      </c>
      <c r="H86" s="78">
        <v>0.21000000000000002</v>
      </c>
      <c r="I86" s="83">
        <v>-0.11</v>
      </c>
      <c r="J86" s="78">
        <v>0.31</v>
      </c>
      <c r="K86" s="83">
        <v>0.09</v>
      </c>
      <c r="L86" s="78">
        <v>0.29000000000000004</v>
      </c>
      <c r="M86" s="83">
        <v>0.19</v>
      </c>
      <c r="N86" s="79">
        <v>0.39</v>
      </c>
      <c r="O86" s="53" t="str">
        <f>IF(OR(INDEX([1]Relação_Calibrações_Localização!$F$8:$F$259,MATCH(B86,[1]Relação_Calibrações_Localização!$B$8:$B$259,0))="PERDIDO",INDEX([1]Relação_Calibrações_Localização!F128:F378,MATCH(B86,[1]Relação_Calibrações_Localização!$B$8:$B$259,0))="NÃO LOCALIZADO"),"PERDIDO",
IF(OR(G86="",I86="",K86="",M86=""),"INDETERMINADO",IF(MAX(H86,J86,L86,N86)&lt;=0.5,"APROVADO","REPROVADO")))</f>
        <v>APROVADO</v>
      </c>
      <c r="P86" s="80">
        <v>0.4</v>
      </c>
      <c r="Q86" s="83">
        <v>3.2</v>
      </c>
      <c r="R86" s="79">
        <v>3.6</v>
      </c>
      <c r="S86" s="81">
        <v>1</v>
      </c>
      <c r="T86" s="83">
        <v>3.8</v>
      </c>
      <c r="U86" s="79">
        <v>4.8</v>
      </c>
      <c r="V86" s="80">
        <v>1.5</v>
      </c>
      <c r="W86" s="83">
        <v>1.8</v>
      </c>
      <c r="X86" s="79">
        <v>3.3</v>
      </c>
      <c r="Y86" s="82" t="str">
        <f>IF(OR(INDEX([1]Relação_Calibrações_Localização!$F$8:$F$259,MATCH(B86,[1]Relação_Calibrações_Localização!$B$8:$B$259,0))="PERDIDO",INDEX([1]Relação_Calibrações_Localização!F128:F378,MATCH(B86,[1]Relação_Calibrações_Localização!$B$8:$B$259,0))="NÃO LOCALIZADO"),"PERDIDO",
IF(OR(Q86="",T86="",W86=""),"INDETERMINADO",IF(MAX(R86,U86,X86)&lt;=5,"APROVADO","REPROVADO")))</f>
        <v>APROVADO</v>
      </c>
    </row>
    <row r="87" spans="1:25" x14ac:dyDescent="0.25">
      <c r="A87" s="72">
        <v>37334906</v>
      </c>
      <c r="B87" s="73" t="s">
        <v>115</v>
      </c>
      <c r="C87" s="74">
        <v>45855</v>
      </c>
      <c r="D87" s="75">
        <v>46220</v>
      </c>
      <c r="E87" s="48">
        <v>605419</v>
      </c>
      <c r="F87" s="76">
        <v>0.2</v>
      </c>
      <c r="G87" s="83">
        <v>-0.01</v>
      </c>
      <c r="H87" s="78">
        <v>0.21000000000000002</v>
      </c>
      <c r="I87" s="83">
        <v>-0.11</v>
      </c>
      <c r="J87" s="78">
        <v>0.31</v>
      </c>
      <c r="K87" s="83">
        <v>-0.11</v>
      </c>
      <c r="L87" s="78">
        <v>0.31</v>
      </c>
      <c r="M87" s="83">
        <v>-0.21</v>
      </c>
      <c r="N87" s="79">
        <v>0.41000000000000003</v>
      </c>
      <c r="O87" s="53" t="str">
        <f>IF(OR(INDEX([1]Relação_Calibrações_Localização!$F$8:$F$259,MATCH(B87,[1]Relação_Calibrações_Localização!$B$8:$B$259,0))="PERDIDO",INDEX([1]Relação_Calibrações_Localização!F129:F379,MATCH(B87,[1]Relação_Calibrações_Localização!$B$8:$B$259,0))="NÃO LOCALIZADO"),"PERDIDO",
IF(OR(G87="",I87="",K87="",M87=""),"INDETERMINADO",IF(MAX(H87,J87,L87,N87)&lt;=0.5,"APROVADO","REPROVADO")))</f>
        <v>APROVADO</v>
      </c>
      <c r="P87" s="80">
        <v>0.4</v>
      </c>
      <c r="Q87" s="83">
        <v>2.6</v>
      </c>
      <c r="R87" s="79">
        <v>3</v>
      </c>
      <c r="S87" s="81">
        <v>1</v>
      </c>
      <c r="T87" s="83">
        <v>0.3</v>
      </c>
      <c r="U87" s="79">
        <v>1.3</v>
      </c>
      <c r="V87" s="80">
        <v>1.5</v>
      </c>
      <c r="W87" s="83">
        <v>-1.5</v>
      </c>
      <c r="X87" s="79">
        <v>3</v>
      </c>
      <c r="Y87" s="82" t="str">
        <f>IF(OR(INDEX([1]Relação_Calibrações_Localização!$F$8:$F$259,MATCH(B87,[1]Relação_Calibrações_Localização!$B$8:$B$259,0))="PERDIDO",INDEX([1]Relação_Calibrações_Localização!F129:F379,MATCH(B87,[1]Relação_Calibrações_Localização!$B$8:$B$259,0))="NÃO LOCALIZADO"),"PERDIDO",
IF(OR(Q87="",T87="",W87=""),"INDETERMINADO",IF(MAX(R87,U87,X87)&lt;=5,"APROVADO","REPROVADO")))</f>
        <v>APROVADO</v>
      </c>
    </row>
    <row r="88" spans="1:25" x14ac:dyDescent="0.25">
      <c r="A88" s="72">
        <v>37334912</v>
      </c>
      <c r="B88" s="73" t="s">
        <v>116</v>
      </c>
      <c r="C88" s="74">
        <v>45855</v>
      </c>
      <c r="D88" s="75">
        <v>46220</v>
      </c>
      <c r="E88" s="48">
        <v>605492</v>
      </c>
      <c r="F88" s="76">
        <v>0.2</v>
      </c>
      <c r="G88" s="83">
        <v>-0.11</v>
      </c>
      <c r="H88" s="78">
        <v>0.31</v>
      </c>
      <c r="I88" s="83">
        <v>-0.01</v>
      </c>
      <c r="J88" s="78">
        <v>0.21000000000000002</v>
      </c>
      <c r="K88" s="83">
        <v>0.09</v>
      </c>
      <c r="L88" s="78">
        <v>0.29000000000000004</v>
      </c>
      <c r="M88" s="83">
        <v>0.19</v>
      </c>
      <c r="N88" s="79">
        <v>0.39</v>
      </c>
      <c r="O88" s="53" t="str">
        <f>IF(OR(INDEX([1]Relação_Calibrações_Localização!$F$8:$F$259,MATCH(B88,[1]Relação_Calibrações_Localização!$B$8:$B$259,0))="PERDIDO",INDEX([1]Relação_Calibrações_Localização!F130:F380,MATCH(B88,[1]Relação_Calibrações_Localização!$B$8:$B$259,0))="NÃO LOCALIZADO"),"PERDIDO",
IF(OR(G88="",I88="",K88="",M88=""),"INDETERMINADO",IF(MAX(H88,J88,L88,N88)&lt;=0.5,"APROVADO","REPROVADO")))</f>
        <v>APROVADO</v>
      </c>
      <c r="P88" s="80">
        <v>0.4</v>
      </c>
      <c r="Q88" s="83">
        <v>3.1</v>
      </c>
      <c r="R88" s="79">
        <v>3.5</v>
      </c>
      <c r="S88" s="81">
        <v>1</v>
      </c>
      <c r="T88" s="83">
        <v>2.8</v>
      </c>
      <c r="U88" s="79">
        <v>3.8</v>
      </c>
      <c r="V88" s="80">
        <v>1.5</v>
      </c>
      <c r="W88" s="83">
        <v>0.5</v>
      </c>
      <c r="X88" s="79">
        <v>2</v>
      </c>
      <c r="Y88" s="82" t="str">
        <f>IF(OR(INDEX([1]Relação_Calibrações_Localização!$F$8:$F$259,MATCH(B88,[1]Relação_Calibrações_Localização!$B$8:$B$259,0))="PERDIDO",INDEX([1]Relação_Calibrações_Localização!F130:F380,MATCH(B88,[1]Relação_Calibrações_Localização!$B$8:$B$259,0))="NÃO LOCALIZADO"),"PERDIDO",
IF(OR(Q88="",T88="",W88=""),"INDETERMINADO",IF(MAX(R88,U88,X88)&lt;=5,"APROVADO","REPROVADO")))</f>
        <v>APROVADO</v>
      </c>
    </row>
    <row r="89" spans="1:25" x14ac:dyDescent="0.25">
      <c r="A89" s="72">
        <v>37334914</v>
      </c>
      <c r="B89" s="73" t="s">
        <v>117</v>
      </c>
      <c r="C89" s="74">
        <v>45855</v>
      </c>
      <c r="D89" s="75">
        <v>46220</v>
      </c>
      <c r="E89" s="48">
        <v>605478</v>
      </c>
      <c r="F89" s="76">
        <v>0.2</v>
      </c>
      <c r="G89" s="83">
        <v>-0.01</v>
      </c>
      <c r="H89" s="78">
        <v>0.21000000000000002</v>
      </c>
      <c r="I89" s="83">
        <v>-0.11</v>
      </c>
      <c r="J89" s="78">
        <v>0.31</v>
      </c>
      <c r="K89" s="83">
        <v>-0.11</v>
      </c>
      <c r="L89" s="78">
        <v>0.31</v>
      </c>
      <c r="M89" s="83">
        <v>-0.11</v>
      </c>
      <c r="N89" s="79">
        <v>0.31</v>
      </c>
      <c r="O89" s="53" t="str">
        <f>IF(OR(INDEX([1]Relação_Calibrações_Localização!$F$8:$F$259,MATCH(B89,[1]Relação_Calibrações_Localização!$B$8:$B$259,0))="PERDIDO",INDEX([1]Relação_Calibrações_Localização!F131:F381,MATCH(B89,[1]Relação_Calibrações_Localização!$B$8:$B$259,0))="NÃO LOCALIZADO"),"PERDIDO",
IF(OR(G89="",I89="",K89="",M89=""),"INDETERMINADO",IF(MAX(H89,J89,L89,N89)&lt;=0.5,"APROVADO","REPROVADO")))</f>
        <v>APROVADO</v>
      </c>
      <c r="P89" s="80">
        <v>0.4</v>
      </c>
      <c r="Q89" s="83">
        <v>3.7</v>
      </c>
      <c r="R89" s="79">
        <v>4.1000000000000005</v>
      </c>
      <c r="S89" s="81">
        <v>1</v>
      </c>
      <c r="T89" s="83">
        <v>3.3</v>
      </c>
      <c r="U89" s="79">
        <v>4.3</v>
      </c>
      <c r="V89" s="80">
        <v>1.5</v>
      </c>
      <c r="W89" s="83">
        <v>2.8</v>
      </c>
      <c r="X89" s="79">
        <v>4.3</v>
      </c>
      <c r="Y89" s="82" t="str">
        <f>IF(OR(INDEX([1]Relação_Calibrações_Localização!$F$8:$F$259,MATCH(B89,[1]Relação_Calibrações_Localização!$B$8:$B$259,0))="PERDIDO",INDEX([1]Relação_Calibrações_Localização!F131:F381,MATCH(B89,[1]Relação_Calibrações_Localização!$B$8:$B$259,0))="NÃO LOCALIZADO"),"PERDIDO",
IF(OR(Q89="",T89="",W89=""),"INDETERMINADO",IF(MAX(R89,U89,X89)&lt;=5,"APROVADO","REPROVADO")))</f>
        <v>APROVADO</v>
      </c>
    </row>
    <row r="90" spans="1:25" x14ac:dyDescent="0.25">
      <c r="A90" s="72">
        <v>37334926</v>
      </c>
      <c r="B90" s="73" t="s">
        <v>118</v>
      </c>
      <c r="C90" s="74">
        <v>45855</v>
      </c>
      <c r="D90" s="75">
        <v>46220</v>
      </c>
      <c r="E90" s="48">
        <v>605546</v>
      </c>
      <c r="F90" s="76">
        <v>0.2</v>
      </c>
      <c r="G90" s="83">
        <v>-0.01</v>
      </c>
      <c r="H90" s="78">
        <v>0.21000000000000002</v>
      </c>
      <c r="I90" s="83">
        <v>0.09</v>
      </c>
      <c r="J90" s="78">
        <v>0.29000000000000004</v>
      </c>
      <c r="K90" s="83">
        <v>0.09</v>
      </c>
      <c r="L90" s="78">
        <v>0.29000000000000004</v>
      </c>
      <c r="M90" s="83">
        <v>0.19</v>
      </c>
      <c r="N90" s="79">
        <v>0.39</v>
      </c>
      <c r="O90" s="53" t="str">
        <f>IF(OR(INDEX([1]Relação_Calibrações_Localização!$F$8:$F$259,MATCH(B90,[1]Relação_Calibrações_Localização!$B$8:$B$259,0))="PERDIDO",INDEX([1]Relação_Calibrações_Localização!F133:F383,MATCH(B90,[1]Relação_Calibrações_Localização!$B$8:$B$259,0))="NÃO LOCALIZADO"),"PERDIDO",
IF(OR(G90="",I90="",K90="",M90=""),"INDETERMINADO",IF(MAX(H90,J90,L90,N90)&lt;=0.5,"APROVADO","REPROVADO")))</f>
        <v>APROVADO</v>
      </c>
      <c r="P90" s="80">
        <v>0.4</v>
      </c>
      <c r="Q90" s="83">
        <v>2.7</v>
      </c>
      <c r="R90" s="79">
        <v>3.1</v>
      </c>
      <c r="S90" s="81">
        <v>1</v>
      </c>
      <c r="T90" s="83">
        <v>1.8</v>
      </c>
      <c r="U90" s="79">
        <v>2.8</v>
      </c>
      <c r="V90" s="80">
        <v>1.5</v>
      </c>
      <c r="W90" s="83">
        <v>1.6</v>
      </c>
      <c r="X90" s="79">
        <v>3.1</v>
      </c>
      <c r="Y90" s="82" t="str">
        <f>IF(OR(INDEX([1]Relação_Calibrações_Localização!$F$8:$F$259,MATCH(B90,[1]Relação_Calibrações_Localização!$B$8:$B$259,0))="PERDIDO",INDEX([1]Relação_Calibrações_Localização!F133:F383,MATCH(B90,[1]Relação_Calibrações_Localização!$B$8:$B$259,0))="NÃO LOCALIZADO"),"PERDIDO",
IF(OR(Q90="",T90="",W90=""),"INDETERMINADO",IF(MAX(R90,U90,X90)&lt;=5,"APROVADO","REPROVADO")))</f>
        <v>APROVADO</v>
      </c>
    </row>
    <row r="91" spans="1:25" x14ac:dyDescent="0.25">
      <c r="A91" s="72">
        <v>37335285</v>
      </c>
      <c r="B91" s="73" t="s">
        <v>119</v>
      </c>
      <c r="C91" s="74">
        <v>45855</v>
      </c>
      <c r="D91" s="75">
        <v>46220</v>
      </c>
      <c r="E91" s="48">
        <v>605503</v>
      </c>
      <c r="F91" s="76">
        <v>0.2</v>
      </c>
      <c r="G91" s="83">
        <v>-0.01</v>
      </c>
      <c r="H91" s="78">
        <v>0.21000000000000002</v>
      </c>
      <c r="I91" s="83">
        <v>-0.11</v>
      </c>
      <c r="J91" s="78">
        <v>0.31</v>
      </c>
      <c r="K91" s="83">
        <v>-0.21</v>
      </c>
      <c r="L91" s="78">
        <v>0.41000000000000003</v>
      </c>
      <c r="M91" s="83">
        <v>-0.21</v>
      </c>
      <c r="N91" s="79">
        <v>0.41000000000000003</v>
      </c>
      <c r="O91" s="53" t="str">
        <f>IF(OR(INDEX([1]Relação_Calibrações_Localização!$F$8:$F$259,MATCH(B91,[1]Relação_Calibrações_Localização!$B$8:$B$259,0))="PERDIDO",INDEX([1]Relação_Calibrações_Localização!F134:F384,MATCH(B91,[1]Relação_Calibrações_Localização!$B$8:$B$259,0))="NÃO LOCALIZADO"),"PERDIDO",
IF(OR(G91="",I91="",K91="",M91=""),"INDETERMINADO",IF(MAX(H91,J91,L91,N91)&lt;=0.5,"APROVADO","REPROVADO")))</f>
        <v>APROVADO</v>
      </c>
      <c r="P91" s="80">
        <v>0.4</v>
      </c>
      <c r="Q91" s="83">
        <v>2.8</v>
      </c>
      <c r="R91" s="79">
        <v>3.1999999999999997</v>
      </c>
      <c r="S91" s="81">
        <v>1</v>
      </c>
      <c r="T91" s="83">
        <v>1.7</v>
      </c>
      <c r="U91" s="79">
        <v>2.7</v>
      </c>
      <c r="V91" s="80">
        <v>1.5</v>
      </c>
      <c r="W91" s="83">
        <v>1.8</v>
      </c>
      <c r="X91" s="79">
        <v>3.3</v>
      </c>
      <c r="Y91" s="82" t="str">
        <f>IF(OR(INDEX([1]Relação_Calibrações_Localização!$F$8:$F$259,MATCH(B91,[1]Relação_Calibrações_Localização!$B$8:$B$259,0))="PERDIDO",INDEX([1]Relação_Calibrações_Localização!F134:F384,MATCH(B91,[1]Relação_Calibrações_Localização!$B$8:$B$259,0))="NÃO LOCALIZADO"),"PERDIDO",
IF(OR(Q91="",T91="",W91=""),"INDETERMINADO",IF(MAX(R91,U91,X91)&lt;=5,"APROVADO","REPROVADO")))</f>
        <v>APROVADO</v>
      </c>
    </row>
    <row r="92" spans="1:25" x14ac:dyDescent="0.25">
      <c r="A92" s="72">
        <v>37335320</v>
      </c>
      <c r="B92" s="73" t="s">
        <v>120</v>
      </c>
      <c r="C92" s="74">
        <v>45855</v>
      </c>
      <c r="D92" s="75">
        <v>46220</v>
      </c>
      <c r="E92" s="48">
        <v>605491</v>
      </c>
      <c r="F92" s="76">
        <v>0.2</v>
      </c>
      <c r="G92" s="83">
        <v>0.09</v>
      </c>
      <c r="H92" s="78">
        <v>0.29000000000000004</v>
      </c>
      <c r="I92" s="83">
        <v>-0.01</v>
      </c>
      <c r="J92" s="78">
        <v>0.21000000000000002</v>
      </c>
      <c r="K92" s="83">
        <v>-0.11</v>
      </c>
      <c r="L92" s="78">
        <v>0.31</v>
      </c>
      <c r="M92" s="83">
        <v>-0.21</v>
      </c>
      <c r="N92" s="79">
        <v>0.41000000000000003</v>
      </c>
      <c r="O92" s="53" t="str">
        <f>IF(OR(INDEX([1]Relação_Calibrações_Localização!$F$8:$F$259,MATCH(B92,[1]Relação_Calibrações_Localização!$B$8:$B$259,0))="PERDIDO",INDEX([1]Relação_Calibrações_Localização!F136:F386,MATCH(B92,[1]Relação_Calibrações_Localização!$B$8:$B$259,0))="NÃO LOCALIZADO"),"PERDIDO",
IF(OR(G92="",I92="",K92="",M92=""),"INDETERMINADO",IF(MAX(H92,J92,L92,N92)&lt;=0.5,"APROVADO","REPROVADO")))</f>
        <v>APROVADO</v>
      </c>
      <c r="P92" s="80">
        <v>0.4</v>
      </c>
      <c r="Q92" s="83">
        <v>2.1</v>
      </c>
      <c r="R92" s="79">
        <v>2.5</v>
      </c>
      <c r="S92" s="81">
        <v>1</v>
      </c>
      <c r="T92" s="83">
        <v>1.7</v>
      </c>
      <c r="U92" s="79">
        <v>2.7</v>
      </c>
      <c r="V92" s="80">
        <v>1.5</v>
      </c>
      <c r="W92" s="83">
        <v>-0.8</v>
      </c>
      <c r="X92" s="79">
        <v>2.2999999999999998</v>
      </c>
      <c r="Y92" s="82" t="str">
        <f>IF(OR(INDEX([1]Relação_Calibrações_Localização!$F$8:$F$259,MATCH(B92,[1]Relação_Calibrações_Localização!$B$8:$B$259,0))="PERDIDO",INDEX([1]Relação_Calibrações_Localização!F136:F386,MATCH(B92,[1]Relação_Calibrações_Localização!$B$8:$B$259,0))="NÃO LOCALIZADO"),"PERDIDO",
IF(OR(Q92="",T92="",W92=""),"INDETERMINADO",IF(MAX(R92,U92,X92)&lt;=5,"APROVADO","REPROVADO")))</f>
        <v>APROVADO</v>
      </c>
    </row>
    <row r="93" spans="1:25" x14ac:dyDescent="0.25">
      <c r="A93" s="72">
        <v>37337335</v>
      </c>
      <c r="B93" s="73" t="s">
        <v>121</v>
      </c>
      <c r="C93" s="74">
        <v>45855</v>
      </c>
      <c r="D93" s="75">
        <v>46220</v>
      </c>
      <c r="E93" s="48">
        <v>605424</v>
      </c>
      <c r="F93" s="76">
        <v>0.2</v>
      </c>
      <c r="G93" s="83">
        <v>-0.01</v>
      </c>
      <c r="H93" s="78">
        <v>0.21000000000000002</v>
      </c>
      <c r="I93" s="83">
        <v>-0.11</v>
      </c>
      <c r="J93" s="78">
        <v>0.31</v>
      </c>
      <c r="K93" s="83">
        <v>-0.11</v>
      </c>
      <c r="L93" s="78">
        <v>0.31</v>
      </c>
      <c r="M93" s="83">
        <v>-0.21</v>
      </c>
      <c r="N93" s="79">
        <v>0.41000000000000003</v>
      </c>
      <c r="O93" s="53" t="s">
        <v>47</v>
      </c>
      <c r="P93" s="80">
        <v>0.4</v>
      </c>
      <c r="Q93" s="83">
        <v>3.9</v>
      </c>
      <c r="R93" s="79">
        <v>4.3</v>
      </c>
      <c r="S93" s="81">
        <v>1</v>
      </c>
      <c r="T93" s="83">
        <v>3.7</v>
      </c>
      <c r="U93" s="79">
        <v>4.7</v>
      </c>
      <c r="V93" s="80">
        <v>1.5</v>
      </c>
      <c r="W93" s="83">
        <v>2.2999999999999998</v>
      </c>
      <c r="X93" s="79">
        <v>3.8</v>
      </c>
      <c r="Y93" s="82" t="str">
        <f>IF(OR(INDEX([1]Relação_Calibrações_Localização!$F$8:$F$259,MATCH(B93,[1]Relação_Calibrações_Localização!$B$8:$B$259,0))="PERDIDO",INDEX([1]Relação_Calibrações_Localização!F138:F388,MATCH(B93,[1]Relação_Calibrações_Localização!$B$8:$B$259,0))="NÃO LOCALIZADO"),"PERDIDO",
IF(OR(Q93="",T93="",W93=""),"INDETERMINADO",IF(MAX(R93,U93,X93)&lt;=5,"APROVADO","REPROVADO")))</f>
        <v>APROVADO</v>
      </c>
    </row>
    <row r="94" spans="1:25" x14ac:dyDescent="0.25">
      <c r="A94" s="72">
        <v>37337351</v>
      </c>
      <c r="B94" s="73" t="s">
        <v>122</v>
      </c>
      <c r="C94" s="74">
        <v>45855</v>
      </c>
      <c r="D94" s="75">
        <v>46220</v>
      </c>
      <c r="E94" s="48">
        <v>605482</v>
      </c>
      <c r="F94" s="76">
        <v>0.2</v>
      </c>
      <c r="G94" s="83">
        <v>0.19</v>
      </c>
      <c r="H94" s="78">
        <v>0.39</v>
      </c>
      <c r="I94" s="83">
        <v>0.09</v>
      </c>
      <c r="J94" s="78">
        <v>0.29000000000000004</v>
      </c>
      <c r="K94" s="83">
        <v>-0.01</v>
      </c>
      <c r="L94" s="78">
        <v>0.21000000000000002</v>
      </c>
      <c r="M94" s="83">
        <v>-0.01</v>
      </c>
      <c r="N94" s="79">
        <v>0.21000000000000002</v>
      </c>
      <c r="O94" s="53" t="s">
        <v>47</v>
      </c>
      <c r="P94" s="80">
        <v>0.4</v>
      </c>
      <c r="Q94" s="83">
        <v>3.9</v>
      </c>
      <c r="R94" s="79">
        <v>4.3</v>
      </c>
      <c r="S94" s="81">
        <v>1</v>
      </c>
      <c r="T94" s="83">
        <v>3</v>
      </c>
      <c r="U94" s="79">
        <v>4</v>
      </c>
      <c r="V94" s="80">
        <v>1.5</v>
      </c>
      <c r="W94" s="83">
        <v>2.7</v>
      </c>
      <c r="X94" s="79">
        <v>4.2</v>
      </c>
      <c r="Y94" s="82" t="str">
        <f>IF(OR(INDEX([1]Relação_Calibrações_Localização!$F$8:$F$259,MATCH(B94,[1]Relação_Calibrações_Localização!$B$8:$B$259,0))="PERDIDO",INDEX([1]Relação_Calibrações_Localização!F139:F389,MATCH(B94,[1]Relação_Calibrações_Localização!$B$8:$B$259,0))="NÃO LOCALIZADO"),"PERDIDO",
IF(OR(Q94="",T94="",W94=""),"INDETERMINADO",IF(MAX(R94,U94,X94)&lt;=5,"APROVADO","REPROVADO")))</f>
        <v>APROVADO</v>
      </c>
    </row>
    <row r="95" spans="1:25" x14ac:dyDescent="0.25">
      <c r="A95" s="72">
        <v>37339075</v>
      </c>
      <c r="B95" s="73" t="s">
        <v>123</v>
      </c>
      <c r="C95" s="74">
        <v>45855</v>
      </c>
      <c r="D95" s="75">
        <v>46220</v>
      </c>
      <c r="E95" s="48">
        <v>605516</v>
      </c>
      <c r="F95" s="76">
        <v>0.2</v>
      </c>
      <c r="G95" s="83">
        <v>-0.11</v>
      </c>
      <c r="H95" s="78">
        <v>0.31</v>
      </c>
      <c r="I95" s="83">
        <v>-0.11</v>
      </c>
      <c r="J95" s="78">
        <v>0.31</v>
      </c>
      <c r="K95" s="83">
        <v>-0.01</v>
      </c>
      <c r="L95" s="78">
        <v>0.21000000000000002</v>
      </c>
      <c r="M95" s="83">
        <v>-0.01</v>
      </c>
      <c r="N95" s="79">
        <v>0.21000000000000002</v>
      </c>
      <c r="O95" s="53" t="s">
        <v>47</v>
      </c>
      <c r="P95" s="80">
        <v>0.4</v>
      </c>
      <c r="Q95" s="83">
        <v>2.9</v>
      </c>
      <c r="R95" s="79">
        <v>3.3</v>
      </c>
      <c r="S95" s="81">
        <v>1</v>
      </c>
      <c r="T95" s="83">
        <v>2.8</v>
      </c>
      <c r="U95" s="79">
        <v>3.8</v>
      </c>
      <c r="V95" s="80">
        <v>1.5</v>
      </c>
      <c r="W95" s="83">
        <v>2.5</v>
      </c>
      <c r="X95" s="79">
        <v>4</v>
      </c>
      <c r="Y95" s="82" t="str">
        <f>IF(OR(INDEX([1]Relação_Calibrações_Localização!$F$8:$F$259,MATCH(B95,[1]Relação_Calibrações_Localização!$B$8:$B$259,0))="PERDIDO",INDEX([1]Relação_Calibrações_Localização!F140:F390,MATCH(B95,[1]Relação_Calibrações_Localização!$B$8:$B$259,0))="NÃO LOCALIZADO"),"PERDIDO",
IF(OR(Q95="",T95="",W95=""),"INDETERMINADO",IF(MAX(R95,U95,X95)&lt;=5,"APROVADO","REPROVADO")))</f>
        <v>APROVADO</v>
      </c>
    </row>
    <row r="96" spans="1:25" x14ac:dyDescent="0.25">
      <c r="A96" s="72">
        <v>37339087</v>
      </c>
      <c r="B96" s="73" t="s">
        <v>124</v>
      </c>
      <c r="C96" s="74">
        <v>45855</v>
      </c>
      <c r="D96" s="75">
        <v>46220</v>
      </c>
      <c r="E96" s="48">
        <v>605452</v>
      </c>
      <c r="F96" s="76">
        <v>0.2</v>
      </c>
      <c r="G96" s="83">
        <v>-0.21</v>
      </c>
      <c r="H96" s="78">
        <v>0.41000000000000003</v>
      </c>
      <c r="I96" s="83">
        <v>-0.21</v>
      </c>
      <c r="J96" s="78">
        <v>0.41000000000000003</v>
      </c>
      <c r="K96" s="83">
        <v>-0.01</v>
      </c>
      <c r="L96" s="78">
        <v>0.21000000000000002</v>
      </c>
      <c r="M96" s="83">
        <v>0.19</v>
      </c>
      <c r="N96" s="79">
        <v>0.39</v>
      </c>
      <c r="O96" s="53" t="s">
        <v>47</v>
      </c>
      <c r="P96" s="80">
        <v>0.4</v>
      </c>
      <c r="Q96" s="83">
        <v>3.9</v>
      </c>
      <c r="R96" s="79">
        <v>4.3</v>
      </c>
      <c r="S96" s="81">
        <v>1</v>
      </c>
      <c r="T96" s="83">
        <v>3.8</v>
      </c>
      <c r="U96" s="79">
        <v>4.8</v>
      </c>
      <c r="V96" s="80">
        <v>1.5</v>
      </c>
      <c r="W96" s="83">
        <v>3.3</v>
      </c>
      <c r="X96" s="79">
        <v>4.8</v>
      </c>
      <c r="Y96" s="82" t="str">
        <f>IF(OR(INDEX([1]Relação_Calibrações_Localização!$F$8:$F$259,MATCH(B96,[1]Relação_Calibrações_Localização!$B$8:$B$259,0))="PERDIDO",INDEX([1]Relação_Calibrações_Localização!F142:F392,MATCH(B96,[1]Relação_Calibrações_Localização!$B$8:$B$259,0))="NÃO LOCALIZADO"),"PERDIDO",
IF(OR(Q96="",T96="",W96=""),"INDETERMINADO",IF(MAX(R96,U96,X96)&lt;=5,"APROVADO","REPROVADO")))</f>
        <v>APROVADO</v>
      </c>
    </row>
    <row r="97" spans="1:25" x14ac:dyDescent="0.25">
      <c r="A97" s="72">
        <v>37339093</v>
      </c>
      <c r="B97" s="73" t="s">
        <v>125</v>
      </c>
      <c r="C97" s="74">
        <v>45855</v>
      </c>
      <c r="D97" s="75">
        <v>46220</v>
      </c>
      <c r="E97" s="48">
        <v>605445</v>
      </c>
      <c r="F97" s="76">
        <v>0.2</v>
      </c>
      <c r="G97" s="83">
        <v>-0.11</v>
      </c>
      <c r="H97" s="78">
        <v>0.31</v>
      </c>
      <c r="I97" s="83">
        <v>-0.01</v>
      </c>
      <c r="J97" s="78">
        <v>0.21000000000000002</v>
      </c>
      <c r="K97" s="83">
        <v>0.09</v>
      </c>
      <c r="L97" s="78">
        <v>0.29000000000000004</v>
      </c>
      <c r="M97" s="83">
        <v>0.09</v>
      </c>
      <c r="N97" s="79">
        <v>0.29000000000000004</v>
      </c>
      <c r="O97" s="53" t="s">
        <v>47</v>
      </c>
      <c r="P97" s="80">
        <v>0.4</v>
      </c>
      <c r="Q97" s="83">
        <v>2.7</v>
      </c>
      <c r="R97" s="79">
        <v>3.1</v>
      </c>
      <c r="S97" s="81">
        <v>1</v>
      </c>
      <c r="T97" s="83">
        <v>2.2999999999999998</v>
      </c>
      <c r="U97" s="79">
        <v>3.3</v>
      </c>
      <c r="V97" s="80">
        <v>1.5</v>
      </c>
      <c r="W97" s="83">
        <v>0.8</v>
      </c>
      <c r="X97" s="79">
        <v>2.2999999999999998</v>
      </c>
      <c r="Y97" s="82" t="str">
        <f>IF(OR(INDEX([1]Relação_Calibrações_Localização!$F$8:$F$259,MATCH(B97,[1]Relação_Calibrações_Localização!$B$8:$B$259,0))="PERDIDO",INDEX([1]Relação_Calibrações_Localização!F143:F393,MATCH(B97,[1]Relação_Calibrações_Localização!$B$8:$B$259,0))="NÃO LOCALIZADO"),"PERDIDO",
IF(OR(Q97="",T97="",W97=""),"INDETERMINADO",IF(MAX(R97,U97,X97)&lt;=5,"APROVADO","REPROVADO")))</f>
        <v>APROVADO</v>
      </c>
    </row>
    <row r="98" spans="1:25" x14ac:dyDescent="0.25">
      <c r="A98" s="72">
        <v>37339122</v>
      </c>
      <c r="B98" s="73" t="s">
        <v>126</v>
      </c>
      <c r="C98" s="74">
        <v>45855</v>
      </c>
      <c r="D98" s="75">
        <v>46220</v>
      </c>
      <c r="E98" s="48">
        <v>605509</v>
      </c>
      <c r="F98" s="76">
        <v>0.2</v>
      </c>
      <c r="G98" s="83">
        <v>-0.21</v>
      </c>
      <c r="H98" s="78">
        <v>0.41000000000000003</v>
      </c>
      <c r="I98" s="83">
        <v>-0.11</v>
      </c>
      <c r="J98" s="78">
        <v>0.31</v>
      </c>
      <c r="K98" s="83">
        <v>-0.11</v>
      </c>
      <c r="L98" s="78">
        <v>0.31</v>
      </c>
      <c r="M98" s="83">
        <v>-0.01</v>
      </c>
      <c r="N98" s="79">
        <v>0.21000000000000002</v>
      </c>
      <c r="O98" s="53" t="s">
        <v>47</v>
      </c>
      <c r="P98" s="80">
        <v>0.4</v>
      </c>
      <c r="Q98" s="83">
        <v>2.9</v>
      </c>
      <c r="R98" s="79">
        <v>3.3</v>
      </c>
      <c r="S98" s="81">
        <v>1</v>
      </c>
      <c r="T98" s="83">
        <v>1.1000000000000001</v>
      </c>
      <c r="U98" s="79">
        <v>2.1</v>
      </c>
      <c r="V98" s="80">
        <v>1.5</v>
      </c>
      <c r="W98" s="83">
        <v>1.2</v>
      </c>
      <c r="X98" s="79">
        <v>2.7</v>
      </c>
      <c r="Y98" s="82" t="str">
        <f>IF(OR(INDEX([1]Relação_Calibrações_Localização!$F$8:$F$259,MATCH(B98,[1]Relação_Calibrações_Localização!$B$8:$B$259,0))="PERDIDO",INDEX([1]Relação_Calibrações_Localização!F147:F397,MATCH(B98,[1]Relação_Calibrações_Localização!$B$8:$B$259,0))="NÃO LOCALIZADO"),"PERDIDO",
IF(OR(Q98="",T98="",W98=""),"INDETERMINADO",IF(MAX(R98,U98,X98)&lt;=5,"APROVADO","REPROVADO")))</f>
        <v>APROVADO</v>
      </c>
    </row>
    <row r="99" spans="1:25" x14ac:dyDescent="0.25">
      <c r="A99" s="72">
        <v>37339129</v>
      </c>
      <c r="B99" s="73" t="s">
        <v>127</v>
      </c>
      <c r="C99" s="74">
        <v>45855</v>
      </c>
      <c r="D99" s="75">
        <v>46220</v>
      </c>
      <c r="E99" s="48">
        <v>605467</v>
      </c>
      <c r="F99" s="76">
        <v>0.2</v>
      </c>
      <c r="G99" s="83">
        <v>-0.01</v>
      </c>
      <c r="H99" s="78">
        <v>0.21000000000000002</v>
      </c>
      <c r="I99" s="83">
        <v>-0.01</v>
      </c>
      <c r="J99" s="78">
        <v>0.21000000000000002</v>
      </c>
      <c r="K99" s="83">
        <v>0.09</v>
      </c>
      <c r="L99" s="78">
        <v>0.29000000000000004</v>
      </c>
      <c r="M99" s="83">
        <v>0.19</v>
      </c>
      <c r="N99" s="79">
        <v>0.39</v>
      </c>
      <c r="O99" s="53" t="s">
        <v>47</v>
      </c>
      <c r="P99" s="80">
        <v>0.4</v>
      </c>
      <c r="Q99" s="83">
        <v>2.6</v>
      </c>
      <c r="R99" s="79">
        <v>3</v>
      </c>
      <c r="S99" s="81">
        <v>1</v>
      </c>
      <c r="T99" s="83">
        <v>2.7</v>
      </c>
      <c r="U99" s="79">
        <v>3.7</v>
      </c>
      <c r="V99" s="80">
        <v>1.5</v>
      </c>
      <c r="W99" s="83">
        <v>2.5</v>
      </c>
      <c r="X99" s="79">
        <v>4</v>
      </c>
      <c r="Y99" s="82" t="str">
        <f>IF(OR(INDEX([1]Relação_Calibrações_Localização!$F$8:$F$259,MATCH(B99,[1]Relação_Calibrações_Localização!$B$8:$B$259,0))="PERDIDO",INDEX([1]Relação_Calibrações_Localização!F148:F398,MATCH(B99,[1]Relação_Calibrações_Localização!$B$8:$B$259,0))="NÃO LOCALIZADO"),"PERDIDO",
IF(OR(Q99="",T99="",W99=""),"INDETERMINADO",IF(MAX(R99,U99,X99)&lt;=5,"APROVADO","REPROVADO")))</f>
        <v>APROVADO</v>
      </c>
    </row>
    <row r="100" spans="1:25" x14ac:dyDescent="0.25">
      <c r="A100" s="72">
        <v>37339808</v>
      </c>
      <c r="B100" s="73" t="s">
        <v>128</v>
      </c>
      <c r="C100" s="74">
        <v>45855</v>
      </c>
      <c r="D100" s="75">
        <v>46220</v>
      </c>
      <c r="E100" s="48">
        <v>605431</v>
      </c>
      <c r="F100" s="76">
        <v>0.2</v>
      </c>
      <c r="G100" s="83">
        <v>-0.01</v>
      </c>
      <c r="H100" s="78">
        <v>0.21000000000000002</v>
      </c>
      <c r="I100" s="83">
        <v>0.09</v>
      </c>
      <c r="J100" s="78">
        <v>0.29000000000000004</v>
      </c>
      <c r="K100" s="83">
        <v>0.19</v>
      </c>
      <c r="L100" s="78">
        <v>0.39</v>
      </c>
      <c r="M100" s="83">
        <v>0.19</v>
      </c>
      <c r="N100" s="79">
        <v>0.39</v>
      </c>
      <c r="O100" s="53" t="s">
        <v>47</v>
      </c>
      <c r="P100" s="80">
        <v>0.4</v>
      </c>
      <c r="Q100" s="83">
        <v>2.7</v>
      </c>
      <c r="R100" s="79">
        <v>3.1</v>
      </c>
      <c r="S100" s="81">
        <v>1</v>
      </c>
      <c r="T100" s="83">
        <v>2.1</v>
      </c>
      <c r="U100" s="79">
        <v>3.1</v>
      </c>
      <c r="V100" s="80">
        <v>1.5</v>
      </c>
      <c r="W100" s="83">
        <v>-0.3</v>
      </c>
      <c r="X100" s="79">
        <v>1.8</v>
      </c>
      <c r="Y100" s="82" t="str">
        <f>IF(OR(INDEX([1]Relação_Calibrações_Localização!$F$8:$F$259,MATCH(B100,[1]Relação_Calibrações_Localização!$B$8:$B$259,0))="PERDIDO",INDEX([1]Relação_Calibrações_Localização!F152:F402,MATCH(B100,[1]Relação_Calibrações_Localização!$B$8:$B$259,0))="NÃO LOCALIZADO"),"PERDIDO",
IF(OR(Q100="",T100="",W100=""),"INDETERMINADO",IF(MAX(R100,U100,X100)&lt;=5,"APROVADO","REPROVADO")))</f>
        <v>APROVADO</v>
      </c>
    </row>
    <row r="101" spans="1:25" x14ac:dyDescent="0.25">
      <c r="A101" s="72">
        <v>37340845</v>
      </c>
      <c r="B101" s="73" t="s">
        <v>129</v>
      </c>
      <c r="C101" s="74">
        <v>45855</v>
      </c>
      <c r="D101" s="75">
        <v>46220</v>
      </c>
      <c r="E101" s="48">
        <v>605449</v>
      </c>
      <c r="F101" s="76">
        <v>0.2</v>
      </c>
      <c r="G101" s="83">
        <v>-0.01</v>
      </c>
      <c r="H101" s="78">
        <v>0.21000000000000002</v>
      </c>
      <c r="I101" s="83">
        <v>-0.11</v>
      </c>
      <c r="J101" s="78">
        <v>0.31</v>
      </c>
      <c r="K101" s="83">
        <v>-0.21</v>
      </c>
      <c r="L101" s="78">
        <v>0.41000000000000003</v>
      </c>
      <c r="M101" s="83">
        <v>-0.21</v>
      </c>
      <c r="N101" s="79">
        <v>0.41000000000000003</v>
      </c>
      <c r="O101" s="53" t="str">
        <f>IF(OR(INDEX([1]Relação_Calibrações_Localização!$F$8:$F$259,MATCH(B101,[1]Relação_Calibrações_Localização!$B$8:$B$259,0))="PERDIDO",INDEX([1]Relação_Calibrações_Localização!F160:F410,MATCH(B101,[1]Relação_Calibrações_Localização!$B$8:$B$259,0))="NÃO LOCALIZADO"),"PERDIDO",
IF(OR(G101="",I101="",K101="",M101=""),"INDETERMINADO",IF(MAX(H101,J101,L101,N101)&lt;=0.5,"APROVADO","REPROVADO")))</f>
        <v>APROVADO</v>
      </c>
      <c r="P101" s="80">
        <v>0.4</v>
      </c>
      <c r="Q101" s="83">
        <v>3.5</v>
      </c>
      <c r="R101" s="79">
        <v>3.9</v>
      </c>
      <c r="S101" s="81">
        <v>1</v>
      </c>
      <c r="T101" s="83">
        <v>2.7</v>
      </c>
      <c r="U101" s="79">
        <v>3.7</v>
      </c>
      <c r="V101" s="80">
        <v>1.5</v>
      </c>
      <c r="W101" s="83">
        <v>1.1000000000000001</v>
      </c>
      <c r="X101" s="79">
        <v>2.6</v>
      </c>
      <c r="Y101" s="82" t="str">
        <f>IF(OR(INDEX([1]Relação_Calibrações_Localização!$F$8:$F$259,MATCH(B101,[1]Relação_Calibrações_Localização!$B$8:$B$259,0))="PERDIDO",INDEX([1]Relação_Calibrações_Localização!F160:F410,MATCH(B101,[1]Relação_Calibrações_Localização!$B$8:$B$259,0))="NÃO LOCALIZADO"),"PERDIDO",
IF(OR(Q101="",T101="",W101=""),"INDETERMINADO",IF(MAX(R101,U101,X101)&lt;=5,"APROVADO","REPROVADO")))</f>
        <v>APROVADO</v>
      </c>
    </row>
    <row r="102" spans="1:25" x14ac:dyDescent="0.25">
      <c r="A102" s="72">
        <v>37340846</v>
      </c>
      <c r="B102" s="73" t="s">
        <v>130</v>
      </c>
      <c r="C102" s="74">
        <v>45855</v>
      </c>
      <c r="D102" s="75">
        <v>46220</v>
      </c>
      <c r="E102" s="48">
        <v>605490</v>
      </c>
      <c r="F102" s="76">
        <v>0.2</v>
      </c>
      <c r="G102" s="83">
        <v>-0.01</v>
      </c>
      <c r="H102" s="78">
        <v>0.21000000000000002</v>
      </c>
      <c r="I102" s="83">
        <v>-0.11</v>
      </c>
      <c r="J102" s="78">
        <v>0.31</v>
      </c>
      <c r="K102" s="83">
        <v>-0.21</v>
      </c>
      <c r="L102" s="78">
        <v>0.41000000000000003</v>
      </c>
      <c r="M102" s="83">
        <v>-0.21</v>
      </c>
      <c r="N102" s="79">
        <v>0.41000000000000003</v>
      </c>
      <c r="O102" s="53" t="str">
        <f>IF(OR(INDEX([1]Relação_Calibrações_Localização!$F$8:$F$259,MATCH(B102,[1]Relação_Calibrações_Localização!$B$8:$B$259,0))="PERDIDO",INDEX([1]Relação_Calibrações_Localização!F161:F411,MATCH(B102,[1]Relação_Calibrações_Localização!$B$8:$B$259,0))="NÃO LOCALIZADO"),"PERDIDO",
IF(OR(G102="",I102="",K102="",M102=""),"INDETERMINADO",IF(MAX(H102,J102,L102,N102)&lt;=0.5,"APROVADO","REPROVADO")))</f>
        <v>APROVADO</v>
      </c>
      <c r="P102" s="80">
        <v>0.4</v>
      </c>
      <c r="Q102" s="83">
        <v>3.7</v>
      </c>
      <c r="R102" s="79">
        <v>4.1000000000000005</v>
      </c>
      <c r="S102" s="81">
        <v>1</v>
      </c>
      <c r="T102" s="83">
        <v>2.8</v>
      </c>
      <c r="U102" s="79">
        <v>3.8</v>
      </c>
      <c r="V102" s="80">
        <v>1.5</v>
      </c>
      <c r="W102" s="83">
        <v>3.3</v>
      </c>
      <c r="X102" s="79">
        <v>4.8</v>
      </c>
      <c r="Y102" s="82" t="str">
        <f>IF(OR(INDEX([1]Relação_Calibrações_Localização!$F$8:$F$259,MATCH(B102,[1]Relação_Calibrações_Localização!$B$8:$B$259,0))="PERDIDO",INDEX([1]Relação_Calibrações_Localização!F161:F411,MATCH(B102,[1]Relação_Calibrações_Localização!$B$8:$B$259,0))="NÃO LOCALIZADO"),"PERDIDO",
IF(OR(Q102="",T102="",W102=""),"INDETERMINADO",IF(MAX(R102,U102,X102)&lt;=5,"APROVADO","REPROVADO")))</f>
        <v>APROVADO</v>
      </c>
    </row>
    <row r="103" spans="1:25" x14ac:dyDescent="0.25">
      <c r="A103" s="72">
        <v>37340851</v>
      </c>
      <c r="B103" s="73" t="s">
        <v>131</v>
      </c>
      <c r="C103" s="74">
        <v>45855</v>
      </c>
      <c r="D103" s="75">
        <v>46220</v>
      </c>
      <c r="E103" s="48">
        <v>605439</v>
      </c>
      <c r="F103" s="76">
        <v>0.2</v>
      </c>
      <c r="G103" s="83">
        <v>0.09</v>
      </c>
      <c r="H103" s="78">
        <v>0.29000000000000004</v>
      </c>
      <c r="I103" s="83">
        <v>0.09</v>
      </c>
      <c r="J103" s="78">
        <v>0.29000000000000004</v>
      </c>
      <c r="K103" s="83">
        <v>-0.01</v>
      </c>
      <c r="L103" s="78">
        <v>0.21000000000000002</v>
      </c>
      <c r="M103" s="83">
        <v>-0.11</v>
      </c>
      <c r="N103" s="79">
        <v>0.31</v>
      </c>
      <c r="O103" s="53" t="s">
        <v>47</v>
      </c>
      <c r="P103" s="80">
        <v>0.4</v>
      </c>
      <c r="Q103" s="83">
        <v>3.9</v>
      </c>
      <c r="R103" s="79">
        <v>4.3</v>
      </c>
      <c r="S103" s="81">
        <v>1</v>
      </c>
      <c r="T103" s="83">
        <v>3.5</v>
      </c>
      <c r="U103" s="79">
        <v>4.5</v>
      </c>
      <c r="V103" s="80">
        <v>1.5</v>
      </c>
      <c r="W103" s="83">
        <v>1.7</v>
      </c>
      <c r="X103" s="79">
        <v>3.2</v>
      </c>
      <c r="Y103" s="82" t="str">
        <f>IF(OR(INDEX([1]Relação_Calibrações_Localização!$F$8:$F$259,MATCH(B103,[1]Relação_Calibrações_Localização!$B$8:$B$259,0))="PERDIDO",INDEX([1]Relação_Calibrações_Localização!F163:F413,MATCH(B103,[1]Relação_Calibrações_Localização!$B$8:$B$259,0))="NÃO LOCALIZADO"),"PERDIDO",
IF(OR(Q103="",T103="",W103=""),"INDETERMINADO",IF(MAX(R103,U103,X103)&lt;=5,"APROVADO","REPROVADO")))</f>
        <v>APROVADO</v>
      </c>
    </row>
    <row r="104" spans="1:25" x14ac:dyDescent="0.25">
      <c r="A104" s="72">
        <v>37340853</v>
      </c>
      <c r="B104" s="73" t="s">
        <v>132</v>
      </c>
      <c r="C104" s="74">
        <v>45855</v>
      </c>
      <c r="D104" s="75">
        <v>46220</v>
      </c>
      <c r="E104" s="48">
        <v>605528</v>
      </c>
      <c r="F104" s="76">
        <v>0.2</v>
      </c>
      <c r="G104" s="83">
        <v>0.19</v>
      </c>
      <c r="H104" s="78">
        <v>0.39</v>
      </c>
      <c r="I104" s="83">
        <v>0.09</v>
      </c>
      <c r="J104" s="78">
        <v>0.29000000000000004</v>
      </c>
      <c r="K104" s="83">
        <v>0.09</v>
      </c>
      <c r="L104" s="78">
        <v>0.29000000000000004</v>
      </c>
      <c r="M104" s="83">
        <v>-0.11</v>
      </c>
      <c r="N104" s="79">
        <v>0.31</v>
      </c>
      <c r="O104" s="53" t="str">
        <f>IF(OR(INDEX([1]Relação_Calibrações_Localização!$F$8:$F$259,MATCH(B104,[1]Relação_Calibrações_Localização!$B$8:$B$259,0))="PERDIDO",INDEX([1]Relação_Calibrações_Localização!F164:F414,MATCH(B104,[1]Relação_Calibrações_Localização!$B$8:$B$259,0))="NÃO LOCALIZADO"),"PERDIDO",
IF(OR(G104="",I104="",K104="",M104=""),"INDETERMINADO",IF(MAX(H104,J104,L104,N104)&lt;=0.5,"APROVADO","REPROVADO")))</f>
        <v>APROVADO</v>
      </c>
      <c r="P104" s="80">
        <v>0.4</v>
      </c>
      <c r="Q104" s="83">
        <v>3.1</v>
      </c>
      <c r="R104" s="79">
        <v>3.5</v>
      </c>
      <c r="S104" s="81">
        <v>1</v>
      </c>
      <c r="T104" s="83">
        <v>1.3</v>
      </c>
      <c r="U104" s="79">
        <v>2.2999999999999998</v>
      </c>
      <c r="V104" s="80">
        <v>1.5</v>
      </c>
      <c r="W104" s="83">
        <v>1.2</v>
      </c>
      <c r="X104" s="79">
        <v>2.7</v>
      </c>
      <c r="Y104" s="82" t="str">
        <f>IF(OR(INDEX([1]Relação_Calibrações_Localização!$F$8:$F$259,MATCH(B104,[1]Relação_Calibrações_Localização!$B$8:$B$259,0))="PERDIDO",INDEX([1]Relação_Calibrações_Localização!F164:F414,MATCH(B104,[1]Relação_Calibrações_Localização!$B$8:$B$259,0))="NÃO LOCALIZADO"),"PERDIDO",
IF(OR(Q104="",T104="",W104=""),"INDETERMINADO",IF(MAX(R104,U104,X104)&lt;=5,"APROVADO","REPROVADO")))</f>
        <v>APROVADO</v>
      </c>
    </row>
    <row r="105" spans="1:25" x14ac:dyDescent="0.25">
      <c r="A105" s="72">
        <v>37340855</v>
      </c>
      <c r="B105" s="73" t="s">
        <v>133</v>
      </c>
      <c r="C105" s="74">
        <v>45855</v>
      </c>
      <c r="D105" s="75">
        <v>46220</v>
      </c>
      <c r="E105" s="48">
        <v>605426</v>
      </c>
      <c r="F105" s="76">
        <v>0.2</v>
      </c>
      <c r="G105" s="83">
        <v>0.09</v>
      </c>
      <c r="H105" s="78">
        <v>0.29000000000000004</v>
      </c>
      <c r="I105" s="83">
        <v>0.09</v>
      </c>
      <c r="J105" s="78">
        <v>0.29000000000000004</v>
      </c>
      <c r="K105" s="83">
        <v>0.19</v>
      </c>
      <c r="L105" s="78">
        <v>0.39</v>
      </c>
      <c r="M105" s="83">
        <v>0.19</v>
      </c>
      <c r="N105" s="79">
        <v>0.39</v>
      </c>
      <c r="O105" s="53" t="str">
        <f>IF(OR(INDEX([1]Relação_Calibrações_Localização!$F$8:$F$259,MATCH(B105,[1]Relação_Calibrações_Localização!$B$8:$B$259,0))="PERDIDO",INDEX([1]Relação_Calibrações_Localização!F165:F415,MATCH(B105,[1]Relação_Calibrações_Localização!$B$8:$B$259,0))="NÃO LOCALIZADO"),"PERDIDO",
IF(OR(G105="",I105="",K105="",M105=""),"INDETERMINADO",IF(MAX(H105,J105,L105,N105)&lt;=0.5,"APROVADO","REPROVADO")))</f>
        <v>APROVADO</v>
      </c>
      <c r="P105" s="80">
        <v>0.4</v>
      </c>
      <c r="Q105" s="83">
        <v>2.9</v>
      </c>
      <c r="R105" s="79">
        <v>3.3</v>
      </c>
      <c r="S105" s="81">
        <v>1</v>
      </c>
      <c r="T105" s="83">
        <v>2.8</v>
      </c>
      <c r="U105" s="79">
        <v>3.8</v>
      </c>
      <c r="V105" s="80">
        <v>1.5</v>
      </c>
      <c r="W105" s="83">
        <v>1.3</v>
      </c>
      <c r="X105" s="79">
        <v>2.8</v>
      </c>
      <c r="Y105" s="82" t="str">
        <f>IF(OR(INDEX([1]Relação_Calibrações_Localização!$F$8:$F$259,MATCH(B105,[1]Relação_Calibrações_Localização!$B$8:$B$259,0))="PERDIDO",INDEX([1]Relação_Calibrações_Localização!F165:F415,MATCH(B105,[1]Relação_Calibrações_Localização!$B$8:$B$259,0))="NÃO LOCALIZADO"),"PERDIDO",
IF(OR(Q105="",T105="",W105=""),"INDETERMINADO",IF(MAX(R105,U105,X105)&lt;=5,"APROVADO","REPROVADO")))</f>
        <v>APROVADO</v>
      </c>
    </row>
    <row r="106" spans="1:25" x14ac:dyDescent="0.25">
      <c r="A106" s="72">
        <v>37340856</v>
      </c>
      <c r="B106" s="73" t="s">
        <v>134</v>
      </c>
      <c r="C106" s="74">
        <v>45855</v>
      </c>
      <c r="D106" s="75">
        <v>46220</v>
      </c>
      <c r="E106" s="48">
        <v>605520</v>
      </c>
      <c r="F106" s="76">
        <v>0.2</v>
      </c>
      <c r="G106" s="83">
        <v>0.19</v>
      </c>
      <c r="H106" s="78">
        <v>0.39</v>
      </c>
      <c r="I106" s="83">
        <v>0.09</v>
      </c>
      <c r="J106" s="78">
        <v>0.29000000000000004</v>
      </c>
      <c r="K106" s="83">
        <v>-0.01</v>
      </c>
      <c r="L106" s="78">
        <v>0.21000000000000002</v>
      </c>
      <c r="M106" s="83">
        <v>-0.01</v>
      </c>
      <c r="N106" s="79">
        <v>0.21000000000000002</v>
      </c>
      <c r="O106" s="53" t="str">
        <f>IF(OR(INDEX([1]Relação_Calibrações_Localização!$F$8:$F$259,MATCH(B106,[1]Relação_Calibrações_Localização!$B$8:$B$259,0))="PERDIDO",INDEX([1]Relação_Calibrações_Localização!F166:F416,MATCH(B106,[1]Relação_Calibrações_Localização!$B$8:$B$259,0))="NÃO LOCALIZADO"),"PERDIDO",
IF(OR(G106="",I106="",K106="",M106=""),"INDETERMINADO",IF(MAX(H106,J106,L106,N106)&lt;=0.5,"APROVADO","REPROVADO")))</f>
        <v>APROVADO</v>
      </c>
      <c r="P106" s="80">
        <v>0.4</v>
      </c>
      <c r="Q106" s="83">
        <v>2.5</v>
      </c>
      <c r="R106" s="79">
        <v>2.9</v>
      </c>
      <c r="S106" s="81">
        <v>1</v>
      </c>
      <c r="T106" s="83">
        <v>3.2</v>
      </c>
      <c r="U106" s="79">
        <v>4.2</v>
      </c>
      <c r="V106" s="80">
        <v>1.5</v>
      </c>
      <c r="W106" s="83">
        <v>2.8</v>
      </c>
      <c r="X106" s="79">
        <v>4.3</v>
      </c>
      <c r="Y106" s="82" t="str">
        <f>IF(OR(INDEX([1]Relação_Calibrações_Localização!$F$8:$F$259,MATCH(B106,[1]Relação_Calibrações_Localização!$B$8:$B$259,0))="PERDIDO",INDEX([1]Relação_Calibrações_Localização!F166:F416,MATCH(B106,[1]Relação_Calibrações_Localização!$B$8:$B$259,0))="NÃO LOCALIZADO"),"PERDIDO",
IF(OR(Q106="",T106="",W106=""),"INDETERMINADO",IF(MAX(R106,U106,X106)&lt;=5,"APROVADO","REPROVADO")))</f>
        <v>APROVADO</v>
      </c>
    </row>
    <row r="107" spans="1:25" x14ac:dyDescent="0.25">
      <c r="A107" s="72">
        <v>37340857</v>
      </c>
      <c r="B107" s="73" t="s">
        <v>135</v>
      </c>
      <c r="C107" s="74">
        <v>45855</v>
      </c>
      <c r="D107" s="75">
        <v>46220</v>
      </c>
      <c r="E107" s="48">
        <v>605507</v>
      </c>
      <c r="F107" s="76">
        <v>0.2</v>
      </c>
      <c r="G107" s="83">
        <v>-0.01</v>
      </c>
      <c r="H107" s="78">
        <v>0.21000000000000002</v>
      </c>
      <c r="I107" s="83">
        <v>-0.11</v>
      </c>
      <c r="J107" s="78">
        <v>0.31</v>
      </c>
      <c r="K107" s="83">
        <v>-0.11</v>
      </c>
      <c r="L107" s="78">
        <v>0.31</v>
      </c>
      <c r="M107" s="83">
        <v>-0.21</v>
      </c>
      <c r="N107" s="79">
        <v>0.41000000000000003</v>
      </c>
      <c r="O107" s="53" t="str">
        <f>IF(OR(INDEX([1]Relação_Calibrações_Localização!$F$8:$F$259,MATCH(B107,[1]Relação_Calibrações_Localização!$B$8:$B$259,0))="PERDIDO",INDEX([1]Relação_Calibrações_Localização!F167:F417,MATCH(B107,[1]Relação_Calibrações_Localização!$B$8:$B$259,0))="NÃO LOCALIZADO"),"PERDIDO",
IF(OR(G107="",I107="",K107="",M107=""),"INDETERMINADO",IF(MAX(H107,J107,L107,N107)&lt;=0.5,"APROVADO","REPROVADO")))</f>
        <v>APROVADO</v>
      </c>
      <c r="P107" s="80">
        <v>0.4</v>
      </c>
      <c r="Q107" s="83">
        <v>2</v>
      </c>
      <c r="R107" s="79">
        <v>2.4</v>
      </c>
      <c r="S107" s="81">
        <v>1</v>
      </c>
      <c r="T107" s="83">
        <v>-0.5</v>
      </c>
      <c r="U107" s="79">
        <v>1.5</v>
      </c>
      <c r="V107" s="80">
        <v>1.5</v>
      </c>
      <c r="W107" s="83">
        <v>0.3</v>
      </c>
      <c r="X107" s="79">
        <v>1.8</v>
      </c>
      <c r="Y107" s="82" t="str">
        <f>IF(OR(INDEX([1]Relação_Calibrações_Localização!$F$8:$F$259,MATCH(B107,[1]Relação_Calibrações_Localização!$B$8:$B$259,0))="PERDIDO",INDEX([1]Relação_Calibrações_Localização!F167:F417,MATCH(B107,[1]Relação_Calibrações_Localização!$B$8:$B$259,0))="NÃO LOCALIZADO"),"PERDIDO",
IF(OR(Q107="",T107="",W107=""),"INDETERMINADO",IF(MAX(R107,U107,X107)&lt;=5,"APROVADO","REPROVADO")))</f>
        <v>APROVADO</v>
      </c>
    </row>
    <row r="108" spans="1:25" x14ac:dyDescent="0.25">
      <c r="A108" s="72">
        <v>37340860</v>
      </c>
      <c r="B108" s="73" t="s">
        <v>136</v>
      </c>
      <c r="C108" s="74">
        <v>45855</v>
      </c>
      <c r="D108" s="75">
        <v>46220</v>
      </c>
      <c r="E108" s="48">
        <v>605525</v>
      </c>
      <c r="F108" s="76">
        <v>0.2</v>
      </c>
      <c r="G108" s="83">
        <v>-0.11</v>
      </c>
      <c r="H108" s="78">
        <v>0.31</v>
      </c>
      <c r="I108" s="83">
        <v>-0.01</v>
      </c>
      <c r="J108" s="78">
        <v>0.21000000000000002</v>
      </c>
      <c r="K108" s="83">
        <v>-0.01</v>
      </c>
      <c r="L108" s="78">
        <v>0.21000000000000002</v>
      </c>
      <c r="M108" s="83">
        <v>-0.01</v>
      </c>
      <c r="N108" s="79">
        <v>0.21000000000000002</v>
      </c>
      <c r="O108" s="53" t="str">
        <f>IF(OR(INDEX([1]Relação_Calibrações_Localização!$F$8:$F$259,MATCH(B108,[1]Relação_Calibrações_Localização!$B$8:$B$259,0))="PERDIDO",INDEX([1]Relação_Calibrações_Localização!F168:F418,MATCH(B108,[1]Relação_Calibrações_Localização!$B$8:$B$259,0))="NÃO LOCALIZADO"),"PERDIDO",
IF(OR(G108="",I108="",K108="",M108=""),"INDETERMINADO",IF(MAX(H108,J108,L108,N108)&lt;=0.5,"APROVADO","REPROVADO")))</f>
        <v>APROVADO</v>
      </c>
      <c r="P108" s="80">
        <v>0.4</v>
      </c>
      <c r="Q108" s="83">
        <v>3.2</v>
      </c>
      <c r="R108" s="79">
        <v>3.6</v>
      </c>
      <c r="S108" s="81">
        <v>1</v>
      </c>
      <c r="T108" s="83">
        <v>3.1</v>
      </c>
      <c r="U108" s="79">
        <v>4.0999999999999996</v>
      </c>
      <c r="V108" s="80">
        <v>1.5</v>
      </c>
      <c r="W108" s="83">
        <v>1.9</v>
      </c>
      <c r="X108" s="79">
        <v>3.4</v>
      </c>
      <c r="Y108" s="82" t="str">
        <f>IF(OR(INDEX([1]Relação_Calibrações_Localização!$F$8:$F$259,MATCH(B108,[1]Relação_Calibrações_Localização!$B$8:$B$259,0))="PERDIDO",INDEX([1]Relação_Calibrações_Localização!F168:F418,MATCH(B108,[1]Relação_Calibrações_Localização!$B$8:$B$259,0))="NÃO LOCALIZADO"),"PERDIDO",
IF(OR(Q108="",T108="",W108=""),"INDETERMINADO",IF(MAX(R108,U108,X108)&lt;=5,"APROVADO","REPROVADO")))</f>
        <v>APROVADO</v>
      </c>
    </row>
    <row r="109" spans="1:25" x14ac:dyDescent="0.25">
      <c r="A109" s="72">
        <v>37340861</v>
      </c>
      <c r="B109" s="73" t="s">
        <v>137</v>
      </c>
      <c r="C109" s="74">
        <v>45855</v>
      </c>
      <c r="D109" s="75">
        <v>46220</v>
      </c>
      <c r="E109" s="48">
        <v>605479</v>
      </c>
      <c r="F109" s="76">
        <v>0.2</v>
      </c>
      <c r="G109" s="83">
        <v>-0.01</v>
      </c>
      <c r="H109" s="78">
        <v>0.21000000000000002</v>
      </c>
      <c r="I109" s="83">
        <v>-0.01</v>
      </c>
      <c r="J109" s="78">
        <v>0.21000000000000002</v>
      </c>
      <c r="K109" s="83">
        <v>-0.11</v>
      </c>
      <c r="L109" s="78">
        <v>0.31</v>
      </c>
      <c r="M109" s="83">
        <v>-0.21</v>
      </c>
      <c r="N109" s="79">
        <v>0.41000000000000003</v>
      </c>
      <c r="O109" s="53" t="str">
        <f>IF(OR(INDEX([1]Relação_Calibrações_Localização!$F$8:$F$259,MATCH(B109,[1]Relação_Calibrações_Localização!$B$8:$B$259,0))="PERDIDO",INDEX([1]Relação_Calibrações_Localização!F169:F419,MATCH(B109,[1]Relação_Calibrações_Localização!$B$8:$B$259,0))="NÃO LOCALIZADO"),"PERDIDO",
IF(OR(G109="",I109="",K109="",M109=""),"INDETERMINADO",IF(MAX(H109,J109,L109,N109)&lt;=0.5,"APROVADO","REPROVADO")))</f>
        <v>APROVADO</v>
      </c>
      <c r="P109" s="80">
        <v>0.4</v>
      </c>
      <c r="Q109" s="83">
        <v>3.4</v>
      </c>
      <c r="R109" s="79">
        <v>3.8</v>
      </c>
      <c r="S109" s="81">
        <v>1</v>
      </c>
      <c r="T109" s="83">
        <v>2.2999999999999998</v>
      </c>
      <c r="U109" s="79">
        <v>3.3</v>
      </c>
      <c r="V109" s="80">
        <v>1.5</v>
      </c>
      <c r="W109" s="83">
        <v>-0.8</v>
      </c>
      <c r="X109" s="79">
        <v>2.2999999999999998</v>
      </c>
      <c r="Y109" s="82" t="str">
        <f>IF(OR(INDEX([1]Relação_Calibrações_Localização!$F$8:$F$259,MATCH(B109,[1]Relação_Calibrações_Localização!$B$8:$B$259,0))="PERDIDO",INDEX([1]Relação_Calibrações_Localização!F169:F419,MATCH(B109,[1]Relação_Calibrações_Localização!$B$8:$B$259,0))="NÃO LOCALIZADO"),"PERDIDO",
IF(OR(Q109="",T109="",W109=""),"INDETERMINADO",IF(MAX(R109,U109,X109)&lt;=5,"APROVADO","REPROVADO")))</f>
        <v>APROVADO</v>
      </c>
    </row>
    <row r="110" spans="1:25" x14ac:dyDescent="0.25">
      <c r="A110" s="72">
        <v>37340863</v>
      </c>
      <c r="B110" s="73" t="s">
        <v>138</v>
      </c>
      <c r="C110" s="74">
        <v>45855</v>
      </c>
      <c r="D110" s="75">
        <v>46220</v>
      </c>
      <c r="E110" s="48">
        <v>605453</v>
      </c>
      <c r="F110" s="76">
        <v>0.2</v>
      </c>
      <c r="G110" s="83">
        <v>-0.11</v>
      </c>
      <c r="H110" s="78">
        <v>0.31</v>
      </c>
      <c r="I110" s="83">
        <v>-0.01</v>
      </c>
      <c r="J110" s="78">
        <v>0.21000000000000002</v>
      </c>
      <c r="K110" s="83">
        <v>0.09</v>
      </c>
      <c r="L110" s="78">
        <v>0.29000000000000004</v>
      </c>
      <c r="M110" s="83">
        <v>0.19</v>
      </c>
      <c r="N110" s="79">
        <v>0.39</v>
      </c>
      <c r="O110" s="53" t="str">
        <f>IF(OR(INDEX([1]Relação_Calibrações_Localização!$F$8:$F$259,MATCH(B110,[1]Relação_Calibrações_Localização!$B$8:$B$259,0))="PERDIDO",INDEX([1]Relação_Calibrações_Localização!F171:F421,MATCH(B110,[1]Relação_Calibrações_Localização!$B$8:$B$259,0))="NÃO LOCALIZADO"),"PERDIDO",
IF(OR(G110="",I110="",K110="",M110=""),"INDETERMINADO",IF(MAX(H110,J110,L110,N110)&lt;=0.5,"APROVADO","REPROVADO")))</f>
        <v>APROVADO</v>
      </c>
      <c r="P110" s="80">
        <v>0.4</v>
      </c>
      <c r="Q110" s="83">
        <v>3.2</v>
      </c>
      <c r="R110" s="79">
        <v>3.6</v>
      </c>
      <c r="S110" s="81">
        <v>1</v>
      </c>
      <c r="T110" s="83">
        <v>3.3</v>
      </c>
      <c r="U110" s="79">
        <v>4.3</v>
      </c>
      <c r="V110" s="80">
        <v>1.5</v>
      </c>
      <c r="W110" s="83">
        <v>3.2</v>
      </c>
      <c r="X110" s="79">
        <v>4.7</v>
      </c>
      <c r="Y110" s="82" t="str">
        <f>IF(OR(INDEX([1]Relação_Calibrações_Localização!$F$8:$F$259,MATCH(B110,[1]Relação_Calibrações_Localização!$B$8:$B$259,0))="PERDIDO",INDEX([1]Relação_Calibrações_Localização!F171:F421,MATCH(B110,[1]Relação_Calibrações_Localização!$B$8:$B$259,0))="NÃO LOCALIZADO"),"PERDIDO",
IF(OR(Q110="",T110="",W110=""),"INDETERMINADO",IF(MAX(R110,U110,X110)&lt;=5,"APROVADO","REPROVADO")))</f>
        <v>APROVADO</v>
      </c>
    </row>
    <row r="111" spans="1:25" x14ac:dyDescent="0.25">
      <c r="A111" s="72">
        <v>37340864</v>
      </c>
      <c r="B111" s="73" t="s">
        <v>139</v>
      </c>
      <c r="C111" s="74">
        <v>45855</v>
      </c>
      <c r="D111" s="75">
        <v>46220</v>
      </c>
      <c r="E111" s="48">
        <v>605448</v>
      </c>
      <c r="F111" s="76">
        <v>0.2</v>
      </c>
      <c r="G111" s="83">
        <v>0.09</v>
      </c>
      <c r="H111" s="78">
        <v>0.29000000000000004</v>
      </c>
      <c r="I111" s="83">
        <v>-0.01</v>
      </c>
      <c r="J111" s="78">
        <v>0.21000000000000002</v>
      </c>
      <c r="K111" s="83">
        <v>-0.01</v>
      </c>
      <c r="L111" s="78">
        <v>0.21000000000000002</v>
      </c>
      <c r="M111" s="83">
        <v>-0.01</v>
      </c>
      <c r="N111" s="79">
        <v>0.21000000000000002</v>
      </c>
      <c r="O111" s="53" t="str">
        <f>IF(OR(INDEX([1]Relação_Calibrações_Localização!$F$8:$F$259,MATCH(B111,[1]Relação_Calibrações_Localização!$B$8:$B$259,0))="PERDIDO",INDEX([1]Relação_Calibrações_Localização!F172:F422,MATCH(B111,[1]Relação_Calibrações_Localização!$B$8:$B$259,0))="NÃO LOCALIZADO"),"PERDIDO",
IF(OR(G111="",I111="",K111="",M111=""),"INDETERMINADO",IF(MAX(H111,J111,L111,N111)&lt;=0.5,"APROVADO","REPROVADO")))</f>
        <v>APROVADO</v>
      </c>
      <c r="P111" s="80">
        <v>0.4</v>
      </c>
      <c r="Q111" s="83">
        <v>3.2</v>
      </c>
      <c r="R111" s="79">
        <v>3.6</v>
      </c>
      <c r="S111" s="81">
        <v>1</v>
      </c>
      <c r="T111" s="83">
        <v>2.8</v>
      </c>
      <c r="U111" s="79">
        <v>3.8</v>
      </c>
      <c r="V111" s="80">
        <v>1.5</v>
      </c>
      <c r="W111" s="83">
        <v>0.2</v>
      </c>
      <c r="X111" s="79">
        <v>1.7</v>
      </c>
      <c r="Y111" s="82" t="str">
        <f>IF(OR(INDEX([1]Relação_Calibrações_Localização!$F$8:$F$259,MATCH(B111,[1]Relação_Calibrações_Localização!$B$8:$B$259,0))="PERDIDO",INDEX([1]Relação_Calibrações_Localização!F172:F422,MATCH(B111,[1]Relação_Calibrações_Localização!$B$8:$B$259,0))="NÃO LOCALIZADO"),"PERDIDO",
IF(OR(Q111="",T111="",W111=""),"INDETERMINADO",IF(MAX(R111,U111,X111)&lt;=5,"APROVADO","REPROVADO")))</f>
        <v>APROVADO</v>
      </c>
    </row>
    <row r="112" spans="1:25" x14ac:dyDescent="0.25">
      <c r="A112" s="72">
        <v>37340866</v>
      </c>
      <c r="B112" s="73" t="s">
        <v>140</v>
      </c>
      <c r="C112" s="74">
        <v>45855</v>
      </c>
      <c r="D112" s="75">
        <v>46220</v>
      </c>
      <c r="E112" s="48">
        <v>605455</v>
      </c>
      <c r="F112" s="76">
        <v>0.2</v>
      </c>
      <c r="G112" s="83">
        <v>-0.21</v>
      </c>
      <c r="H112" s="78">
        <v>0.41000000000000003</v>
      </c>
      <c r="I112" s="83">
        <v>-0.11</v>
      </c>
      <c r="J112" s="78">
        <v>0.31</v>
      </c>
      <c r="K112" s="83">
        <v>-0.01</v>
      </c>
      <c r="L112" s="78">
        <v>0.21000000000000002</v>
      </c>
      <c r="M112" s="83">
        <v>-0.01</v>
      </c>
      <c r="N112" s="79">
        <v>0.21000000000000002</v>
      </c>
      <c r="O112" s="53" t="str">
        <f>IF(OR(INDEX([1]Relação_Calibrações_Localização!$F$8:$F$259,MATCH(B112,[1]Relação_Calibrações_Localização!$B$8:$B$259,0))="PERDIDO",INDEX([1]Relação_Calibrações_Localização!F173:F423,MATCH(B112,[1]Relação_Calibrações_Localização!$B$8:$B$259,0))="NÃO LOCALIZADO"),"PERDIDO",
IF(OR(G112="",I112="",K112="",M112=""),"INDETERMINADO",IF(MAX(H112,J112,L112,N112)&lt;=0.5,"APROVADO","REPROVADO")))</f>
        <v>APROVADO</v>
      </c>
      <c r="P112" s="80">
        <v>0.4</v>
      </c>
      <c r="Q112" s="83">
        <v>3.5</v>
      </c>
      <c r="R112" s="79">
        <v>3.9</v>
      </c>
      <c r="S112" s="81">
        <v>1</v>
      </c>
      <c r="T112" s="83">
        <v>3.5</v>
      </c>
      <c r="U112" s="79">
        <v>4.5</v>
      </c>
      <c r="V112" s="80">
        <v>1.5</v>
      </c>
      <c r="W112" s="83">
        <v>1.8</v>
      </c>
      <c r="X112" s="79">
        <v>3.3</v>
      </c>
      <c r="Y112" s="82" t="str">
        <f>IF(OR(INDEX([1]Relação_Calibrações_Localização!$F$8:$F$259,MATCH(B112,[1]Relação_Calibrações_Localização!$B$8:$B$259,0))="PERDIDO",INDEX([1]Relação_Calibrações_Localização!F173:F423,MATCH(B112,[1]Relação_Calibrações_Localização!$B$8:$B$259,0))="NÃO LOCALIZADO"),"PERDIDO",
IF(OR(Q112="",T112="",W112=""),"INDETERMINADO",IF(MAX(R112,U112,X112)&lt;=5,"APROVADO","REPROVADO")))</f>
        <v>APROVADO</v>
      </c>
    </row>
    <row r="113" spans="1:25" x14ac:dyDescent="0.25">
      <c r="A113" s="72">
        <v>37340867</v>
      </c>
      <c r="B113" s="73" t="s">
        <v>141</v>
      </c>
      <c r="C113" s="74">
        <v>45855</v>
      </c>
      <c r="D113" s="75">
        <v>46220</v>
      </c>
      <c r="E113" s="48">
        <v>605447</v>
      </c>
      <c r="F113" s="76">
        <v>0.2</v>
      </c>
      <c r="G113" s="83">
        <v>-0.21</v>
      </c>
      <c r="H113" s="78">
        <v>0.41000000000000003</v>
      </c>
      <c r="I113" s="83">
        <v>-0.11</v>
      </c>
      <c r="J113" s="78">
        <v>0.31</v>
      </c>
      <c r="K113" s="83">
        <v>-0.01</v>
      </c>
      <c r="L113" s="78">
        <v>0.21000000000000002</v>
      </c>
      <c r="M113" s="83">
        <v>-0.01</v>
      </c>
      <c r="N113" s="79">
        <v>0.21000000000000002</v>
      </c>
      <c r="O113" s="53" t="str">
        <f>IF(OR(INDEX([1]Relação_Calibrações_Localização!$F$8:$F$259,MATCH(B113,[1]Relação_Calibrações_Localização!$B$8:$B$259,0))="PERDIDO",INDEX([1]Relação_Calibrações_Localização!F174:F424,MATCH(B113,[1]Relação_Calibrações_Localização!$B$8:$B$259,0))="NÃO LOCALIZADO"),"PERDIDO",
IF(OR(G113="",I113="",K113="",M113=""),"INDETERMINADO",IF(MAX(H113,J113,L113,N113)&lt;=0.5,"APROVADO","REPROVADO")))</f>
        <v>APROVADO</v>
      </c>
      <c r="P113" s="80">
        <v>0.4</v>
      </c>
      <c r="Q113" s="83">
        <v>3.7</v>
      </c>
      <c r="R113" s="79">
        <v>4.1000000000000005</v>
      </c>
      <c r="S113" s="81">
        <v>1</v>
      </c>
      <c r="T113" s="83">
        <v>3.8</v>
      </c>
      <c r="U113" s="79">
        <v>4.8</v>
      </c>
      <c r="V113" s="80">
        <v>1.5</v>
      </c>
      <c r="W113" s="83">
        <v>0.1</v>
      </c>
      <c r="X113" s="79">
        <v>1.6</v>
      </c>
      <c r="Y113" s="82" t="str">
        <f>IF(OR(INDEX([1]Relação_Calibrações_Localização!$F$8:$F$259,MATCH(B113,[1]Relação_Calibrações_Localização!$B$8:$B$259,0))="PERDIDO",INDEX([1]Relação_Calibrações_Localização!F174:F424,MATCH(B113,[1]Relação_Calibrações_Localização!$B$8:$B$259,0))="NÃO LOCALIZADO"),"PERDIDO",
IF(OR(Q113="",T113="",W113=""),"INDETERMINADO",IF(MAX(R113,U113,X113)&lt;=5,"APROVADO","REPROVADO")))</f>
        <v>APROVADO</v>
      </c>
    </row>
    <row r="114" spans="1:25" x14ac:dyDescent="0.25">
      <c r="A114" s="72">
        <v>37340871</v>
      </c>
      <c r="B114" s="73" t="s">
        <v>142</v>
      </c>
      <c r="C114" s="74">
        <v>45855</v>
      </c>
      <c r="D114" s="75">
        <v>46220</v>
      </c>
      <c r="E114" s="48">
        <v>605531</v>
      </c>
      <c r="F114" s="76">
        <v>0.2</v>
      </c>
      <c r="G114" s="83">
        <v>0.19</v>
      </c>
      <c r="H114" s="78">
        <v>0.39</v>
      </c>
      <c r="I114" s="83">
        <v>0.09</v>
      </c>
      <c r="J114" s="78">
        <v>0.29000000000000004</v>
      </c>
      <c r="K114" s="83">
        <v>-0.11</v>
      </c>
      <c r="L114" s="78">
        <v>0.31</v>
      </c>
      <c r="M114" s="83">
        <v>-0.11</v>
      </c>
      <c r="N114" s="79">
        <v>0.31</v>
      </c>
      <c r="O114" s="53" t="str">
        <f>IF(OR(INDEX([1]Relação_Calibrações_Localização!$F$8:$F$259,MATCH(B114,[1]Relação_Calibrações_Localização!$B$8:$B$259,0))="PERDIDO",INDEX([1]Relação_Calibrações_Localização!F176:F426,MATCH(B114,[1]Relação_Calibrações_Localização!$B$8:$B$259,0))="NÃO LOCALIZADO"),"PERDIDO",
IF(OR(G114="",I114="",K114="",M114=""),"INDETERMINADO",IF(MAX(H114,J114,L114,N114)&lt;=0.5,"APROVADO","REPROVADO")))</f>
        <v>APROVADO</v>
      </c>
      <c r="P114" s="80">
        <v>0.4</v>
      </c>
      <c r="Q114" s="83">
        <v>2.2999999999999998</v>
      </c>
      <c r="R114" s="79">
        <v>2.6999999999999997</v>
      </c>
      <c r="S114" s="81">
        <v>1</v>
      </c>
      <c r="T114" s="83">
        <v>1.8</v>
      </c>
      <c r="U114" s="79">
        <v>2.8</v>
      </c>
      <c r="V114" s="80">
        <v>1.5</v>
      </c>
      <c r="W114" s="83">
        <v>0.3</v>
      </c>
      <c r="X114" s="79">
        <v>1.8</v>
      </c>
      <c r="Y114" s="82" t="str">
        <f>IF(OR(INDEX([1]Relação_Calibrações_Localização!$F$8:$F$259,MATCH(B114,[1]Relação_Calibrações_Localização!$B$8:$B$259,0))="PERDIDO",INDEX([1]Relação_Calibrações_Localização!F176:F426,MATCH(B114,[1]Relação_Calibrações_Localização!$B$8:$B$259,0))="NÃO LOCALIZADO"),"PERDIDO",
IF(OR(Q114="",T114="",W114=""),"INDETERMINADO",IF(MAX(R114,U114,X114)&lt;=5,"APROVADO","REPROVADO")))</f>
        <v>APROVADO</v>
      </c>
    </row>
    <row r="115" spans="1:25" x14ac:dyDescent="0.25">
      <c r="A115" s="72">
        <v>37340883</v>
      </c>
      <c r="B115" s="73" t="s">
        <v>143</v>
      </c>
      <c r="C115" s="74">
        <v>45855</v>
      </c>
      <c r="D115" s="75">
        <v>46220</v>
      </c>
      <c r="E115" s="48">
        <v>605535</v>
      </c>
      <c r="F115" s="76">
        <v>0.2</v>
      </c>
      <c r="G115" s="83">
        <v>-0.21</v>
      </c>
      <c r="H115" s="78">
        <v>0.41000000000000003</v>
      </c>
      <c r="I115" s="83">
        <v>-0.11</v>
      </c>
      <c r="J115" s="78">
        <v>0.31</v>
      </c>
      <c r="K115" s="83">
        <v>0.09</v>
      </c>
      <c r="L115" s="78">
        <v>0.29000000000000004</v>
      </c>
      <c r="M115" s="83">
        <v>0.19</v>
      </c>
      <c r="N115" s="79">
        <v>0.39</v>
      </c>
      <c r="O115" s="53" t="str">
        <f>IF(OR(INDEX([1]Relação_Calibrações_Localização!$F$8:$F$259,MATCH(B115,[1]Relação_Calibrações_Localização!$B$8:$B$259,0))="PERDIDO",INDEX([1]Relação_Calibrações_Localização!F181:F431,MATCH(B115,[1]Relação_Calibrações_Localização!$B$8:$B$259,0))="NÃO LOCALIZADO"),"PERDIDO",
IF(OR(G115="",I115="",K115="",M115=""),"INDETERMINADO",IF(MAX(H115,J115,L115,N115)&lt;=0.5,"APROVADO","REPROVADO")))</f>
        <v>APROVADO</v>
      </c>
      <c r="P115" s="80">
        <v>0.4</v>
      </c>
      <c r="Q115" s="83">
        <v>3.4</v>
      </c>
      <c r="R115" s="79">
        <v>3.8</v>
      </c>
      <c r="S115" s="81">
        <v>1</v>
      </c>
      <c r="T115" s="83">
        <v>1.3</v>
      </c>
      <c r="U115" s="79">
        <v>2.2999999999999998</v>
      </c>
      <c r="V115" s="80">
        <v>1.5</v>
      </c>
      <c r="W115" s="83">
        <v>1.5</v>
      </c>
      <c r="X115" s="79">
        <v>3</v>
      </c>
      <c r="Y115" s="82" t="str">
        <f>IF(OR(INDEX([1]Relação_Calibrações_Localização!$F$8:$F$259,MATCH(B115,[1]Relação_Calibrações_Localização!$B$8:$B$259,0))="PERDIDO",INDEX([1]Relação_Calibrações_Localização!F181:F431,MATCH(B115,[1]Relação_Calibrações_Localização!$B$8:$B$259,0))="NÃO LOCALIZADO"),"PERDIDO",
IF(OR(Q115="",T115="",W115=""),"INDETERMINADO",IF(MAX(R115,U115,X115)&lt;=5,"APROVADO","REPROVADO")))</f>
        <v>APROVADO</v>
      </c>
    </row>
    <row r="116" spans="1:25" x14ac:dyDescent="0.25">
      <c r="A116" s="72">
        <v>37340901</v>
      </c>
      <c r="B116" s="73" t="s">
        <v>144</v>
      </c>
      <c r="C116" s="74">
        <v>45855</v>
      </c>
      <c r="D116" s="75">
        <v>46220</v>
      </c>
      <c r="E116" s="48">
        <v>605506</v>
      </c>
      <c r="F116" s="76">
        <v>0.2</v>
      </c>
      <c r="G116" s="83">
        <v>-0.01</v>
      </c>
      <c r="H116" s="78">
        <v>0.21000000000000002</v>
      </c>
      <c r="I116" s="83">
        <v>0.09</v>
      </c>
      <c r="J116" s="78">
        <v>0.29000000000000004</v>
      </c>
      <c r="K116" s="83">
        <v>0.19</v>
      </c>
      <c r="L116" s="78">
        <v>0.39</v>
      </c>
      <c r="M116" s="83">
        <v>0.19</v>
      </c>
      <c r="N116" s="79">
        <v>0.39</v>
      </c>
      <c r="O116" s="53" t="str">
        <f>IF(OR(INDEX([1]Relação_Calibrações_Localização!$F$8:$F$259,MATCH(B116,[1]Relação_Calibrações_Localização!$B$8:$B$259,0))="PERDIDO",INDEX([1]Relação_Calibrações_Localização!F183:F433,MATCH(B116,[1]Relação_Calibrações_Localização!$B$8:$B$259,0))="NÃO LOCALIZADO"),"PERDIDO",
IF(OR(G116="",I116="",K116="",M116=""),"INDETERMINADO",IF(MAX(H116,J116,L116,N116)&lt;=0.5,"APROVADO","REPROVADO")))</f>
        <v>APROVADO</v>
      </c>
      <c r="P116" s="80">
        <v>0.4</v>
      </c>
      <c r="Q116" s="83">
        <v>2.9</v>
      </c>
      <c r="R116" s="79">
        <v>3.3</v>
      </c>
      <c r="S116" s="81">
        <v>1</v>
      </c>
      <c r="T116" s="83">
        <v>2.8</v>
      </c>
      <c r="U116" s="79">
        <v>3.8</v>
      </c>
      <c r="V116" s="80">
        <v>1.5</v>
      </c>
      <c r="W116" s="83">
        <v>1.5</v>
      </c>
      <c r="X116" s="79">
        <v>3</v>
      </c>
      <c r="Y116" s="82" t="str">
        <f>IF(OR(INDEX([1]Relação_Calibrações_Localização!$F$8:$F$259,MATCH(B116,[1]Relação_Calibrações_Localização!$B$8:$B$259,0))="PERDIDO",INDEX([1]Relação_Calibrações_Localização!F183:F433,MATCH(B116,[1]Relação_Calibrações_Localização!$B$8:$B$259,0))="NÃO LOCALIZADO"),"PERDIDO",
IF(OR(Q116="",T116="",W116=""),"INDETERMINADO",IF(MAX(R116,U116,X116)&lt;=5,"APROVADO","REPROVADO")))</f>
        <v>APROVADO</v>
      </c>
    </row>
    <row r="117" spans="1:25" x14ac:dyDescent="0.25">
      <c r="A117" s="72">
        <v>37340903</v>
      </c>
      <c r="B117" s="73" t="s">
        <v>145</v>
      </c>
      <c r="C117" s="74">
        <v>45855</v>
      </c>
      <c r="D117" s="75">
        <v>46220</v>
      </c>
      <c r="E117" s="48">
        <v>605454</v>
      </c>
      <c r="F117" s="76">
        <v>0.2</v>
      </c>
      <c r="G117" s="83">
        <v>0.09</v>
      </c>
      <c r="H117" s="78">
        <v>0.29000000000000004</v>
      </c>
      <c r="I117" s="83">
        <v>0.09</v>
      </c>
      <c r="J117" s="78">
        <v>0.29000000000000004</v>
      </c>
      <c r="K117" s="83">
        <v>0.19</v>
      </c>
      <c r="L117" s="78">
        <v>0.39</v>
      </c>
      <c r="M117" s="83">
        <v>0.19</v>
      </c>
      <c r="N117" s="79">
        <v>0.39</v>
      </c>
      <c r="O117" s="53" t="str">
        <f>IF(OR(INDEX([1]Relação_Calibrações_Localização!$F$8:$F$259,MATCH(B117,[1]Relação_Calibrações_Localização!$B$8:$B$259,0))="PERDIDO",INDEX([1]Relação_Calibrações_Localização!F185:F435,MATCH(B117,[1]Relação_Calibrações_Localização!$B$8:$B$259,0))="NÃO LOCALIZADO"),"PERDIDO",
IF(OR(G117="",I117="",K117="",M117=""),"INDETERMINADO",IF(MAX(H117,J117,L117,N117)&lt;=0.5,"APROVADO","REPROVADO")))</f>
        <v>APROVADO</v>
      </c>
      <c r="P117" s="80">
        <v>0.4</v>
      </c>
      <c r="Q117" s="83">
        <v>2.9</v>
      </c>
      <c r="R117" s="79">
        <v>3.3</v>
      </c>
      <c r="S117" s="81">
        <v>1</v>
      </c>
      <c r="T117" s="83">
        <v>2.8</v>
      </c>
      <c r="U117" s="79">
        <v>3.8</v>
      </c>
      <c r="V117" s="80">
        <v>1.5</v>
      </c>
      <c r="W117" s="83">
        <v>1.9</v>
      </c>
      <c r="X117" s="79">
        <v>3.4</v>
      </c>
      <c r="Y117" s="82" t="str">
        <f>IF(OR(INDEX([1]Relação_Calibrações_Localização!$F$8:$F$259,MATCH(B117,[1]Relação_Calibrações_Localização!$B$8:$B$259,0))="PERDIDO",INDEX([1]Relação_Calibrações_Localização!F185:F435,MATCH(B117,[1]Relação_Calibrações_Localização!$B$8:$B$259,0))="NÃO LOCALIZADO"),"PERDIDO",
IF(OR(Q117="",T117="",W117=""),"INDETERMINADO",IF(MAX(R117,U117,X117)&lt;=5,"APROVADO","REPROVADO")))</f>
        <v>APROVADO</v>
      </c>
    </row>
    <row r="118" spans="1:25" x14ac:dyDescent="0.25">
      <c r="A118" s="72">
        <v>37340908</v>
      </c>
      <c r="B118" s="73" t="s">
        <v>146</v>
      </c>
      <c r="C118" s="74">
        <v>45855</v>
      </c>
      <c r="D118" s="75">
        <v>46220</v>
      </c>
      <c r="E118" s="48">
        <v>605519</v>
      </c>
      <c r="F118" s="76">
        <v>0.2</v>
      </c>
      <c r="G118" s="83">
        <v>0.19</v>
      </c>
      <c r="H118" s="78">
        <v>0.39</v>
      </c>
      <c r="I118" s="83">
        <v>0.09</v>
      </c>
      <c r="J118" s="78">
        <v>0.29000000000000004</v>
      </c>
      <c r="K118" s="83">
        <v>-0.01</v>
      </c>
      <c r="L118" s="78">
        <v>0.21000000000000002</v>
      </c>
      <c r="M118" s="83">
        <v>-0.11</v>
      </c>
      <c r="N118" s="79">
        <v>0.31</v>
      </c>
      <c r="O118" s="53" t="str">
        <f>IF(OR(INDEX([1]Relação_Calibrações_Localização!$F$8:$F$259,MATCH(B118,[1]Relação_Calibrações_Localização!$B$8:$B$259,0))="PERDIDO",INDEX([1]Relação_Calibrações_Localização!F186:F436,MATCH(B118,[1]Relação_Calibrações_Localização!$B$8:$B$259,0))="NÃO LOCALIZADO"),"PERDIDO",
IF(OR(G118="",I118="",K118="",M118=""),"INDETERMINADO",IF(MAX(H118,J118,L118,N118)&lt;=0.5,"APROVADO","REPROVADO")))</f>
        <v>APROVADO</v>
      </c>
      <c r="P118" s="80">
        <v>0.4</v>
      </c>
      <c r="Q118" s="83">
        <v>2.7</v>
      </c>
      <c r="R118" s="79">
        <v>3.1</v>
      </c>
      <c r="S118" s="81">
        <v>1</v>
      </c>
      <c r="T118" s="83">
        <v>2.2999999999999998</v>
      </c>
      <c r="U118" s="79">
        <v>3.3</v>
      </c>
      <c r="V118" s="80">
        <v>1.5</v>
      </c>
      <c r="W118" s="83">
        <v>1.8</v>
      </c>
      <c r="X118" s="79">
        <v>3.3</v>
      </c>
      <c r="Y118" s="82" t="str">
        <f>IF(OR(INDEX([1]Relação_Calibrações_Localização!$F$8:$F$259,MATCH(B118,[1]Relação_Calibrações_Localização!$B$8:$B$259,0))="PERDIDO",INDEX([1]Relação_Calibrações_Localização!F186:F436,MATCH(B118,[1]Relação_Calibrações_Localização!$B$8:$B$259,0))="NÃO LOCALIZADO"),"PERDIDO",
IF(OR(Q118="",T118="",W118=""),"INDETERMINADO",IF(MAX(R118,U118,X118)&lt;=5,"APROVADO","REPROVADO")))</f>
        <v>APROVADO</v>
      </c>
    </row>
    <row r="119" spans="1:25" x14ac:dyDescent="0.25">
      <c r="A119" s="72">
        <v>37341288</v>
      </c>
      <c r="B119" s="73" t="s">
        <v>147</v>
      </c>
      <c r="C119" s="74">
        <v>45855</v>
      </c>
      <c r="D119" s="75">
        <v>46220</v>
      </c>
      <c r="E119" s="48">
        <v>605498</v>
      </c>
      <c r="F119" s="76">
        <v>0.2</v>
      </c>
      <c r="G119" s="83">
        <v>-0.21</v>
      </c>
      <c r="H119" s="78">
        <v>0.41000000000000003</v>
      </c>
      <c r="I119" s="83">
        <v>-0.21</v>
      </c>
      <c r="J119" s="78">
        <v>0.41000000000000003</v>
      </c>
      <c r="K119" s="83">
        <v>-0.01</v>
      </c>
      <c r="L119" s="78">
        <v>0.21000000000000002</v>
      </c>
      <c r="M119" s="83">
        <v>0.09</v>
      </c>
      <c r="N119" s="79">
        <v>0.29000000000000004</v>
      </c>
      <c r="O119" s="53" t="str">
        <f>IF(OR(INDEX([1]Relação_Calibrações_Localização!$F$8:$F$259,MATCH(B119,[1]Relação_Calibrações_Localização!$B$8:$B$259,0))="PERDIDO",INDEX([1]Relação_Calibrações_Localização!F187:F437,MATCH(B119,[1]Relação_Calibrações_Localização!$B$8:$B$259,0))="NÃO LOCALIZADO"),"PERDIDO",
IF(OR(G119="",I119="",K119="",M119=""),"INDETERMINADO",IF(MAX(H119,J119,L119,N119)&lt;=0.5,"APROVADO","REPROVADO")))</f>
        <v>APROVADO</v>
      </c>
      <c r="P119" s="80">
        <v>0.4</v>
      </c>
      <c r="Q119" s="83">
        <v>3.9</v>
      </c>
      <c r="R119" s="79">
        <v>4.3</v>
      </c>
      <c r="S119" s="81">
        <v>1</v>
      </c>
      <c r="T119" s="83">
        <v>3.7</v>
      </c>
      <c r="U119" s="79">
        <v>4.7</v>
      </c>
      <c r="V119" s="80">
        <v>1.5</v>
      </c>
      <c r="W119" s="83">
        <v>2.6</v>
      </c>
      <c r="X119" s="79">
        <v>4.0999999999999996</v>
      </c>
      <c r="Y119" s="82" t="str">
        <f>IF(OR(INDEX([1]Relação_Calibrações_Localização!$F$8:$F$259,MATCH(B119,[1]Relação_Calibrações_Localização!$B$8:$B$259,0))="PERDIDO",INDEX([1]Relação_Calibrações_Localização!F187:F437,MATCH(B119,[1]Relação_Calibrações_Localização!$B$8:$B$259,0))="NÃO LOCALIZADO"),"PERDIDO",
IF(OR(Q119="",T119="",W119=""),"INDETERMINADO",IF(MAX(R119,U119,X119)&lt;=5,"APROVADO","REPROVADO")))</f>
        <v>APROVADO</v>
      </c>
    </row>
    <row r="120" spans="1:25" x14ac:dyDescent="0.25">
      <c r="A120" s="72">
        <v>37341504</v>
      </c>
      <c r="B120" s="73" t="s">
        <v>148</v>
      </c>
      <c r="C120" s="74">
        <v>45855</v>
      </c>
      <c r="D120" s="75">
        <v>46220</v>
      </c>
      <c r="E120" s="48">
        <v>605486</v>
      </c>
      <c r="F120" s="76">
        <v>0.2</v>
      </c>
      <c r="G120" s="83">
        <v>-0.01</v>
      </c>
      <c r="H120" s="78">
        <v>0.21000000000000002</v>
      </c>
      <c r="I120" s="83">
        <v>0.09</v>
      </c>
      <c r="J120" s="78">
        <v>0.29000000000000004</v>
      </c>
      <c r="K120" s="83">
        <v>0.19</v>
      </c>
      <c r="L120" s="78">
        <v>0.39</v>
      </c>
      <c r="M120" s="83">
        <v>0.19</v>
      </c>
      <c r="N120" s="79">
        <v>0.39</v>
      </c>
      <c r="O120" s="53" t="str">
        <f>IF(OR(INDEX([1]Relação_Calibrações_Localização!$F$8:$F$259,MATCH(B120,[1]Relação_Calibrações_Localização!$B$8:$B$259,0))="PERDIDO",INDEX([1]Relação_Calibrações_Localização!F189:F439,MATCH(B120,[1]Relação_Calibrações_Localização!$B$8:$B$259,0))="NÃO LOCALIZADO"),"PERDIDO",
IF(OR(G120="",I120="",K120="",M120=""),"INDETERMINADO",IF(MAX(H120,J120,L120,N120)&lt;=0.5,"APROVADO","REPROVADO")))</f>
        <v>APROVADO</v>
      </c>
      <c r="P120" s="80">
        <v>0.4</v>
      </c>
      <c r="Q120" s="83">
        <v>3.9</v>
      </c>
      <c r="R120" s="79">
        <v>4.3</v>
      </c>
      <c r="S120" s="81">
        <v>1</v>
      </c>
      <c r="T120" s="83">
        <v>3.5</v>
      </c>
      <c r="U120" s="79">
        <v>4.5</v>
      </c>
      <c r="V120" s="80">
        <v>1.5</v>
      </c>
      <c r="W120" s="83">
        <v>1.3</v>
      </c>
      <c r="X120" s="79">
        <v>2.8</v>
      </c>
      <c r="Y120" s="82" t="str">
        <f>IF(OR(INDEX([1]Relação_Calibrações_Localização!$F$8:$F$259,MATCH(B120,[1]Relação_Calibrações_Localização!$B$8:$B$259,0))="PERDIDO",INDEX([1]Relação_Calibrações_Localização!F189:F439,MATCH(B120,[1]Relação_Calibrações_Localização!$B$8:$B$259,0))="NÃO LOCALIZADO"),"PERDIDO",
IF(OR(Q120="",T120="",W120=""),"INDETERMINADO",IF(MAX(R120,U120,X120)&lt;=5,"APROVADO","REPROVADO")))</f>
        <v>APROVADO</v>
      </c>
    </row>
    <row r="121" spans="1:25" x14ac:dyDescent="0.25">
      <c r="A121" s="72">
        <v>37341514</v>
      </c>
      <c r="B121" s="73" t="s">
        <v>149</v>
      </c>
      <c r="C121" s="74">
        <v>45855</v>
      </c>
      <c r="D121" s="75">
        <v>46220</v>
      </c>
      <c r="E121" s="48">
        <v>605530</v>
      </c>
      <c r="F121" s="76">
        <v>0.2</v>
      </c>
      <c r="G121" s="83">
        <v>-0.01</v>
      </c>
      <c r="H121" s="78">
        <v>0.21000000000000002</v>
      </c>
      <c r="I121" s="83">
        <v>-0.01</v>
      </c>
      <c r="J121" s="78">
        <v>0.21000000000000002</v>
      </c>
      <c r="K121" s="83">
        <v>0.09</v>
      </c>
      <c r="L121" s="78">
        <v>0.29000000000000004</v>
      </c>
      <c r="M121" s="83">
        <v>0.19</v>
      </c>
      <c r="N121" s="79">
        <v>0.39</v>
      </c>
      <c r="O121" s="53" t="s">
        <v>47</v>
      </c>
      <c r="P121" s="80">
        <v>0.4</v>
      </c>
      <c r="Q121" s="83">
        <v>2.7</v>
      </c>
      <c r="R121" s="79">
        <v>3.1</v>
      </c>
      <c r="S121" s="81">
        <v>1</v>
      </c>
      <c r="T121" s="83">
        <v>2</v>
      </c>
      <c r="U121" s="79">
        <v>3</v>
      </c>
      <c r="V121" s="80">
        <v>1.5</v>
      </c>
      <c r="W121" s="83">
        <v>2.2000000000000002</v>
      </c>
      <c r="X121" s="79">
        <v>3.7</v>
      </c>
      <c r="Y121" s="82" t="str">
        <f>IF(OR(INDEX([1]Relação_Calibrações_Localização!$F$8:$F$259,MATCH(B121,[1]Relação_Calibrações_Localização!$B$8:$B$259,0))="PERDIDO",INDEX([1]Relação_Calibrações_Localização!F192:F442,MATCH(B121,[1]Relação_Calibrações_Localização!$B$8:$B$259,0))="NÃO LOCALIZADO"),"PERDIDO",
IF(OR(Q121="",T121="",W121=""),"INDETERMINADO",IF(MAX(R121,U121,X121)&lt;=5,"APROVADO","REPROVADO")))</f>
        <v>APROVADO</v>
      </c>
    </row>
    <row r="122" spans="1:25" x14ac:dyDescent="0.25">
      <c r="A122" s="72">
        <v>37341537</v>
      </c>
      <c r="B122" s="73" t="s">
        <v>150</v>
      </c>
      <c r="C122" s="74">
        <v>45855</v>
      </c>
      <c r="D122" s="75">
        <v>46220</v>
      </c>
      <c r="E122" s="48">
        <v>605537</v>
      </c>
      <c r="F122" s="76">
        <v>0.2</v>
      </c>
      <c r="G122" s="83">
        <v>-0.11</v>
      </c>
      <c r="H122" s="78">
        <v>0.31</v>
      </c>
      <c r="I122" s="83">
        <v>-0.11</v>
      </c>
      <c r="J122" s="78">
        <v>0.31</v>
      </c>
      <c r="K122" s="83">
        <v>-0.01</v>
      </c>
      <c r="L122" s="78">
        <v>0.21000000000000002</v>
      </c>
      <c r="M122" s="83">
        <v>0.19</v>
      </c>
      <c r="N122" s="79">
        <v>0.39</v>
      </c>
      <c r="O122" s="53" t="str">
        <f>IF(OR(INDEX([1]Relação_Calibrações_Localização!$F$8:$F$259,MATCH(B122,[1]Relação_Calibrações_Localização!$B$8:$B$259,0))="PERDIDO",INDEX([1]Relação_Calibrações_Localização!F195:F445,MATCH(B122,[1]Relação_Calibrações_Localização!$B$8:$B$259,0))="NÃO LOCALIZADO"),"PERDIDO",
IF(OR(G122="",I122="",K122="",M122=""),"INDETERMINADO",IF(MAX(H122,J122,L122,N122)&lt;=0.5,"APROVADO","REPROVADO")))</f>
        <v>APROVADO</v>
      </c>
      <c r="P122" s="80">
        <v>0.4</v>
      </c>
      <c r="Q122" s="83">
        <v>3.3</v>
      </c>
      <c r="R122" s="79">
        <v>3.6999999999999997</v>
      </c>
      <c r="S122" s="81">
        <v>1</v>
      </c>
      <c r="T122" s="83">
        <v>2.8</v>
      </c>
      <c r="U122" s="79">
        <v>3.8</v>
      </c>
      <c r="V122" s="80">
        <v>1.5</v>
      </c>
      <c r="W122" s="83">
        <v>1</v>
      </c>
      <c r="X122" s="79">
        <v>2.5</v>
      </c>
      <c r="Y122" s="82" t="str">
        <f>IF(OR(INDEX([1]Relação_Calibrações_Localização!$F$8:$F$259,MATCH(B122,[1]Relação_Calibrações_Localização!$B$8:$B$259,0))="PERDIDO",INDEX([1]Relação_Calibrações_Localização!F195:F445,MATCH(B122,[1]Relação_Calibrações_Localização!$B$8:$B$259,0))="NÃO LOCALIZADO"),"PERDIDO",
IF(OR(Q122="",T122="",W122=""),"INDETERMINADO",IF(MAX(R122,U122,X122)&lt;=5,"APROVADO","REPROVADO")))</f>
        <v>APROVADO</v>
      </c>
    </row>
    <row r="123" spans="1:25" x14ac:dyDescent="0.25">
      <c r="A123" s="72">
        <v>37341557</v>
      </c>
      <c r="B123" s="73" t="s">
        <v>151</v>
      </c>
      <c r="C123" s="74">
        <v>45855</v>
      </c>
      <c r="D123" s="75">
        <v>46220</v>
      </c>
      <c r="E123" s="48">
        <v>605552</v>
      </c>
      <c r="F123" s="76">
        <v>0.2</v>
      </c>
      <c r="G123" s="83">
        <v>0.19</v>
      </c>
      <c r="H123" s="78">
        <v>0.39</v>
      </c>
      <c r="I123" s="83">
        <v>0.09</v>
      </c>
      <c r="J123" s="78">
        <v>0.29000000000000004</v>
      </c>
      <c r="K123" s="83">
        <v>0.09</v>
      </c>
      <c r="L123" s="78">
        <v>0.29000000000000004</v>
      </c>
      <c r="M123" s="83">
        <v>-0.01</v>
      </c>
      <c r="N123" s="79">
        <v>0.21000000000000002</v>
      </c>
      <c r="O123" s="53" t="str">
        <f>IF(OR(INDEX([1]Relação_Calibrações_Localização!$F$8:$F$259,MATCH(B123,[1]Relação_Calibrações_Localização!$B$8:$B$259,0))="PERDIDO",INDEX([1]Relação_Calibrações_Localização!F197:F447,MATCH(B123,[1]Relação_Calibrações_Localização!$B$8:$B$259,0))="NÃO LOCALIZADO"),"PERDIDO",
IF(OR(G123="",I123="",K123="",M123=""),"INDETERMINADO",IF(MAX(H123,J123,L123,N123)&lt;=0.5,"APROVADO","REPROVADO")))</f>
        <v>APROVADO</v>
      </c>
      <c r="P123" s="80">
        <v>0.4</v>
      </c>
      <c r="Q123" s="83">
        <v>3.3</v>
      </c>
      <c r="R123" s="79">
        <v>3.6999999999999997</v>
      </c>
      <c r="S123" s="81">
        <v>1</v>
      </c>
      <c r="T123" s="83">
        <v>-1.1000000000000001</v>
      </c>
      <c r="U123" s="79">
        <v>2.1</v>
      </c>
      <c r="V123" s="80">
        <v>1.5</v>
      </c>
      <c r="W123" s="83">
        <v>-0.3</v>
      </c>
      <c r="X123" s="79">
        <v>1.8</v>
      </c>
      <c r="Y123" s="82" t="str">
        <f>IF(OR(INDEX([1]Relação_Calibrações_Localização!$F$8:$F$259,MATCH(B123,[1]Relação_Calibrações_Localização!$B$8:$B$259,0))="PERDIDO",INDEX([1]Relação_Calibrações_Localização!F197:F447,MATCH(B123,[1]Relação_Calibrações_Localização!$B$8:$B$259,0))="NÃO LOCALIZADO"),"PERDIDO",
IF(OR(Q123="",T123="",W123=""),"INDETERMINADO",IF(MAX(R123,U123,X123)&lt;=5,"APROVADO","REPROVADO")))</f>
        <v>APROVADO</v>
      </c>
    </row>
    <row r="124" spans="1:25" x14ac:dyDescent="0.25">
      <c r="A124" s="72">
        <v>37341688</v>
      </c>
      <c r="B124" s="73" t="s">
        <v>152</v>
      </c>
      <c r="C124" s="74">
        <v>45855</v>
      </c>
      <c r="D124" s="75">
        <v>46220</v>
      </c>
      <c r="E124" s="48">
        <v>605512</v>
      </c>
      <c r="F124" s="76">
        <v>0.2</v>
      </c>
      <c r="G124" s="83">
        <v>0.19</v>
      </c>
      <c r="H124" s="78">
        <v>0.39</v>
      </c>
      <c r="I124" s="83">
        <v>0.09</v>
      </c>
      <c r="J124" s="78">
        <v>0.29000000000000004</v>
      </c>
      <c r="K124" s="83">
        <v>0.09</v>
      </c>
      <c r="L124" s="78">
        <v>0.29000000000000004</v>
      </c>
      <c r="M124" s="83">
        <v>-0.01</v>
      </c>
      <c r="N124" s="79">
        <v>0.21000000000000002</v>
      </c>
      <c r="O124" s="53" t="str">
        <f>IF(OR(INDEX([1]Relação_Calibrações_Localização!$F$8:$F$259,MATCH(B124,[1]Relação_Calibrações_Localização!$B$8:$B$259,0))="PERDIDO",INDEX([1]Relação_Calibrações_Localização!F198:F448,MATCH(B124,[1]Relação_Calibrações_Localização!$B$8:$B$259,0))="NÃO LOCALIZADO"),"PERDIDO",
IF(OR(G124="",I124="",K124="",M124=""),"INDETERMINADO",IF(MAX(H124,J124,L124,N124)&lt;=0.5,"APROVADO","REPROVADO")))</f>
        <v>APROVADO</v>
      </c>
      <c r="P124" s="80">
        <v>0.4</v>
      </c>
      <c r="Q124" s="83">
        <v>3</v>
      </c>
      <c r="R124" s="79">
        <v>3.4</v>
      </c>
      <c r="S124" s="81">
        <v>1</v>
      </c>
      <c r="T124" s="83">
        <v>0.1</v>
      </c>
      <c r="U124" s="79">
        <v>1.1000000000000001</v>
      </c>
      <c r="V124" s="80">
        <v>1.5</v>
      </c>
      <c r="W124" s="83">
        <v>2.2000000000000002</v>
      </c>
      <c r="X124" s="79">
        <v>3.7</v>
      </c>
      <c r="Y124" s="82" t="str">
        <f>IF(OR(INDEX([1]Relação_Calibrações_Localização!$F$8:$F$259,MATCH(B124,[1]Relação_Calibrações_Localização!$B$8:$B$259,0))="PERDIDO",INDEX([1]Relação_Calibrações_Localização!F198:F448,MATCH(B124,[1]Relação_Calibrações_Localização!$B$8:$B$259,0))="NÃO LOCALIZADO"),"PERDIDO",
IF(OR(Q124="",T124="",W124=""),"INDETERMINADO",IF(MAX(R124,U124,X124)&lt;=5,"APROVADO","REPROVADO")))</f>
        <v>APROVADO</v>
      </c>
    </row>
    <row r="125" spans="1:25" x14ac:dyDescent="0.25">
      <c r="A125" s="72">
        <v>37341691</v>
      </c>
      <c r="B125" s="73" t="s">
        <v>153</v>
      </c>
      <c r="C125" s="74">
        <v>45855</v>
      </c>
      <c r="D125" s="75">
        <v>46220</v>
      </c>
      <c r="E125" s="48">
        <v>605527</v>
      </c>
      <c r="F125" s="76">
        <v>0.2</v>
      </c>
      <c r="G125" s="83">
        <v>-0.01</v>
      </c>
      <c r="H125" s="78">
        <v>0.21000000000000002</v>
      </c>
      <c r="I125" s="83">
        <v>-0.11</v>
      </c>
      <c r="J125" s="78">
        <v>0.31</v>
      </c>
      <c r="K125" s="83">
        <v>-0.11</v>
      </c>
      <c r="L125" s="78">
        <v>0.31</v>
      </c>
      <c r="M125" s="83">
        <v>-0.21</v>
      </c>
      <c r="N125" s="79">
        <v>0.41000000000000003</v>
      </c>
      <c r="O125" s="53" t="str">
        <f>IF(OR(INDEX([1]Relação_Calibrações_Localização!$F$8:$F$259,MATCH(B125,[1]Relação_Calibrações_Localização!$B$8:$B$259,0))="PERDIDO",INDEX([1]Relação_Calibrações_Localização!F199:F449,MATCH(B125,[1]Relação_Calibrações_Localização!$B$8:$B$259,0))="NÃO LOCALIZADO"),"PERDIDO",
IF(OR(G125="",I125="",K125="",M125=""),"INDETERMINADO",IF(MAX(H125,J125,L125,N125)&lt;=0.5,"APROVADO","REPROVADO")))</f>
        <v>APROVADO</v>
      </c>
      <c r="P125" s="80">
        <v>0.4</v>
      </c>
      <c r="Q125" s="83">
        <v>2.9</v>
      </c>
      <c r="R125" s="79">
        <v>3.3</v>
      </c>
      <c r="S125" s="81">
        <v>1</v>
      </c>
      <c r="T125" s="83">
        <v>-0.5</v>
      </c>
      <c r="U125" s="79">
        <v>1.5</v>
      </c>
      <c r="V125" s="80">
        <v>1.5</v>
      </c>
      <c r="W125" s="83">
        <v>1.2</v>
      </c>
      <c r="X125" s="79">
        <v>2.7</v>
      </c>
      <c r="Y125" s="82" t="str">
        <f>IF(OR(INDEX([1]Relação_Calibrações_Localização!$F$8:$F$259,MATCH(B125,[1]Relação_Calibrações_Localização!$B$8:$B$259,0))="PERDIDO",INDEX([1]Relação_Calibrações_Localização!F199:F449,MATCH(B125,[1]Relação_Calibrações_Localização!$B$8:$B$259,0))="NÃO LOCALIZADO"),"PERDIDO",
IF(OR(Q125="",T125="",W125=""),"INDETERMINADO",IF(MAX(R125,U125,X125)&lt;=5,"APROVADO","REPROVADO")))</f>
        <v>APROVADO</v>
      </c>
    </row>
    <row r="126" spans="1:25" x14ac:dyDescent="0.25">
      <c r="A126" s="72">
        <v>37341744</v>
      </c>
      <c r="B126" s="73" t="s">
        <v>154</v>
      </c>
      <c r="C126" s="74">
        <v>45855</v>
      </c>
      <c r="D126" s="75">
        <v>46220</v>
      </c>
      <c r="E126" s="48">
        <v>605534</v>
      </c>
      <c r="F126" s="76">
        <v>0.2</v>
      </c>
      <c r="G126" s="83">
        <v>-0.11</v>
      </c>
      <c r="H126" s="78">
        <v>0.31</v>
      </c>
      <c r="I126" s="83">
        <v>-0.01</v>
      </c>
      <c r="J126" s="78">
        <v>0.21000000000000002</v>
      </c>
      <c r="K126" s="83">
        <v>-0.01</v>
      </c>
      <c r="L126" s="78">
        <v>0.21000000000000002</v>
      </c>
      <c r="M126" s="83">
        <v>0.09</v>
      </c>
      <c r="N126" s="79">
        <v>0.29000000000000004</v>
      </c>
      <c r="O126" s="53" t="str">
        <f>IF(OR(INDEX([1]Relação_Calibrações_Localização!$F$8:$F$259,MATCH(B126,[1]Relação_Calibrações_Localização!$B$8:$B$259,0))="PERDIDO",INDEX([1]Relação_Calibrações_Localização!F201:F451,MATCH(B126,[1]Relação_Calibrações_Localização!$B$8:$B$259,0))="NÃO LOCALIZADO"),"PERDIDO",
IF(OR(G126="",I126="",K126="",M126=""),"INDETERMINADO",IF(MAX(H126,J126,L126,N126)&lt;=0.5,"APROVADO","REPROVADO")))</f>
        <v>APROVADO</v>
      </c>
      <c r="P126" s="80">
        <v>0.4</v>
      </c>
      <c r="Q126" s="83">
        <v>2.9</v>
      </c>
      <c r="R126" s="79">
        <v>3.3</v>
      </c>
      <c r="S126" s="81">
        <v>1</v>
      </c>
      <c r="T126" s="83">
        <v>2.2000000000000002</v>
      </c>
      <c r="U126" s="79">
        <v>3.2</v>
      </c>
      <c r="V126" s="80">
        <v>1.5</v>
      </c>
      <c r="W126" s="83">
        <v>1.4</v>
      </c>
      <c r="X126" s="79">
        <v>2.9</v>
      </c>
      <c r="Y126" s="82" t="str">
        <f>IF(OR(INDEX([1]Relação_Calibrações_Localização!$F$8:$F$259,MATCH(B126,[1]Relação_Calibrações_Localização!$B$8:$B$259,0))="PERDIDO",INDEX([1]Relação_Calibrações_Localização!F201:F451,MATCH(B126,[1]Relação_Calibrações_Localização!$B$8:$B$259,0))="NÃO LOCALIZADO"),"PERDIDO",
IF(OR(Q126="",T126="",W126=""),"INDETERMINADO",IF(MAX(R126,U126,X126)&lt;=5,"APROVADO","REPROVADO")))</f>
        <v>APROVADO</v>
      </c>
    </row>
    <row r="127" spans="1:25" x14ac:dyDescent="0.25">
      <c r="A127" s="72">
        <v>37341791</v>
      </c>
      <c r="B127" s="73" t="s">
        <v>155</v>
      </c>
      <c r="C127" s="74">
        <v>45855</v>
      </c>
      <c r="D127" s="75">
        <v>46220</v>
      </c>
      <c r="E127" s="48">
        <v>605437</v>
      </c>
      <c r="F127" s="76">
        <v>0.2</v>
      </c>
      <c r="G127" s="83">
        <v>-0.11</v>
      </c>
      <c r="H127" s="78">
        <v>0.31</v>
      </c>
      <c r="I127" s="83">
        <v>-0.01</v>
      </c>
      <c r="J127" s="78">
        <v>0.21000000000000002</v>
      </c>
      <c r="K127" s="83">
        <v>-0.11</v>
      </c>
      <c r="L127" s="78">
        <v>0.31</v>
      </c>
      <c r="M127" s="83">
        <v>-0.11</v>
      </c>
      <c r="N127" s="79">
        <v>0.31</v>
      </c>
      <c r="O127" s="53" t="str">
        <f>IF(OR(INDEX([1]Relação_Calibrações_Localização!$F$8:$F$259,MATCH(B127,[1]Relação_Calibrações_Localização!$B$8:$B$259,0))="PERDIDO",INDEX([1]Relação_Calibrações_Localização!F204:F454,MATCH(B127,[1]Relação_Calibrações_Localização!$B$8:$B$259,0))="NÃO LOCALIZADO"),"PERDIDO",
IF(OR(G127="",I127="",K127="",M127=""),"INDETERMINADO",IF(MAX(H127,J127,L127,N127)&lt;=0.5,"APROVADO","REPROVADO")))</f>
        <v>APROVADO</v>
      </c>
      <c r="P127" s="80">
        <v>0.4</v>
      </c>
      <c r="Q127" s="83">
        <v>3.3</v>
      </c>
      <c r="R127" s="79">
        <v>3.6999999999999997</v>
      </c>
      <c r="S127" s="81">
        <v>1</v>
      </c>
      <c r="T127" s="83">
        <v>3.8</v>
      </c>
      <c r="U127" s="79">
        <v>4.8</v>
      </c>
      <c r="V127" s="80">
        <v>1.5</v>
      </c>
      <c r="W127" s="83">
        <v>2.8</v>
      </c>
      <c r="X127" s="79">
        <v>4.3</v>
      </c>
      <c r="Y127" s="82" t="str">
        <f>IF(OR(INDEX([1]Relação_Calibrações_Localização!$F$8:$F$259,MATCH(B127,[1]Relação_Calibrações_Localização!$B$8:$B$259,0))="PERDIDO",INDEX([1]Relação_Calibrações_Localização!F204:F454,MATCH(B127,[1]Relação_Calibrações_Localização!$B$8:$B$259,0))="NÃO LOCALIZADO"),"PERDIDO",
IF(OR(Q127="",T127="",W127=""),"INDETERMINADO",IF(MAX(R127,U127,X127)&lt;=5,"APROVADO","REPROVADO")))</f>
        <v>APROVADO</v>
      </c>
    </row>
    <row r="128" spans="1:25" x14ac:dyDescent="0.25">
      <c r="A128" s="72">
        <v>37341795</v>
      </c>
      <c r="B128" s="73" t="s">
        <v>156</v>
      </c>
      <c r="C128" s="74">
        <v>45855</v>
      </c>
      <c r="D128" s="75">
        <v>46220</v>
      </c>
      <c r="E128" s="48">
        <v>605459</v>
      </c>
      <c r="F128" s="76">
        <v>0.2</v>
      </c>
      <c r="G128" s="83">
        <v>0.19</v>
      </c>
      <c r="H128" s="78">
        <v>0.39</v>
      </c>
      <c r="I128" s="83">
        <v>0.19</v>
      </c>
      <c r="J128" s="78">
        <v>0.39</v>
      </c>
      <c r="K128" s="83">
        <v>0.09</v>
      </c>
      <c r="L128" s="78">
        <v>0.29000000000000004</v>
      </c>
      <c r="M128" s="83">
        <v>-0.01</v>
      </c>
      <c r="N128" s="79">
        <v>0.21000000000000002</v>
      </c>
      <c r="O128" s="53" t="str">
        <f>IF(OR(INDEX([1]Relação_Calibrações_Localização!$F$8:$F$259,MATCH(B128,[1]Relação_Calibrações_Localização!$B$8:$B$259,0))="PERDIDO",INDEX([1]Relação_Calibrações_Localização!F206:F456,MATCH(B128,[1]Relação_Calibrações_Localização!$B$8:$B$259,0))="NÃO LOCALIZADO"),"PERDIDO",
IF(OR(G128="",I128="",K128="",M128=""),"INDETERMINADO",IF(MAX(H128,J128,L128,N128)&lt;=0.5,"APROVADO","REPROVADO")))</f>
        <v>APROVADO</v>
      </c>
      <c r="P128" s="80">
        <v>0.4</v>
      </c>
      <c r="Q128" s="83">
        <v>3.8</v>
      </c>
      <c r="R128" s="79">
        <v>4.2</v>
      </c>
      <c r="S128" s="81">
        <v>1</v>
      </c>
      <c r="T128" s="83">
        <v>3.6</v>
      </c>
      <c r="U128" s="79">
        <v>4.5999999999999996</v>
      </c>
      <c r="V128" s="80">
        <v>1.5</v>
      </c>
      <c r="W128" s="83">
        <v>1.7</v>
      </c>
      <c r="X128" s="79">
        <v>3.2</v>
      </c>
      <c r="Y128" s="82" t="str">
        <f>IF(OR(INDEX([1]Relação_Calibrações_Localização!$F$8:$F$259,MATCH(B128,[1]Relação_Calibrações_Localização!$B$8:$B$259,0))="PERDIDO",INDEX([1]Relação_Calibrações_Localização!F206:F456,MATCH(B128,[1]Relação_Calibrações_Localização!$B$8:$B$259,0))="NÃO LOCALIZADO"),"PERDIDO",
IF(OR(Q128="",T128="",W128=""),"INDETERMINADO",IF(MAX(R128,U128,X128)&lt;=5,"APROVADO","REPROVADO")))</f>
        <v>APROVADO</v>
      </c>
    </row>
    <row r="129" spans="1:25" x14ac:dyDescent="0.25">
      <c r="A129" s="72">
        <v>37341797</v>
      </c>
      <c r="B129" s="73" t="s">
        <v>157</v>
      </c>
      <c r="C129" s="74">
        <v>45855</v>
      </c>
      <c r="D129" s="75">
        <v>46220</v>
      </c>
      <c r="E129" s="48">
        <v>605517</v>
      </c>
      <c r="F129" s="76">
        <v>0.2</v>
      </c>
      <c r="G129" s="83">
        <v>-0.21</v>
      </c>
      <c r="H129" s="78">
        <v>0.41000000000000003</v>
      </c>
      <c r="I129" s="83">
        <v>-0.11</v>
      </c>
      <c r="J129" s="78">
        <v>0.31</v>
      </c>
      <c r="K129" s="83">
        <v>-0.11</v>
      </c>
      <c r="L129" s="78">
        <v>0.31</v>
      </c>
      <c r="M129" s="83">
        <v>0.09</v>
      </c>
      <c r="N129" s="79">
        <v>0.29000000000000004</v>
      </c>
      <c r="O129" s="53" t="str">
        <f>IF(OR(INDEX([1]Relação_Calibrações_Localização!$F$8:$F$259,MATCH(B129,[1]Relação_Calibrações_Localização!$B$8:$B$259,0))="PERDIDO",INDEX([1]Relação_Calibrações_Localização!F208:F458,MATCH(B129,[1]Relação_Calibrações_Localização!$B$8:$B$259,0))="NÃO LOCALIZADO"),"PERDIDO",
IF(OR(G129="",I129="",K129="",M129=""),"INDETERMINADO",IF(MAX(H129,J129,L129,N129)&lt;=0.5,"APROVADO","REPROVADO")))</f>
        <v>APROVADO</v>
      </c>
      <c r="P129" s="80">
        <v>0.4</v>
      </c>
      <c r="Q129" s="83">
        <v>3.7</v>
      </c>
      <c r="R129" s="79">
        <v>4.1000000000000005</v>
      </c>
      <c r="S129" s="81">
        <v>1</v>
      </c>
      <c r="T129" s="83">
        <v>3.3</v>
      </c>
      <c r="U129" s="79">
        <v>4.3</v>
      </c>
      <c r="V129" s="80">
        <v>1.5</v>
      </c>
      <c r="W129" s="83">
        <v>2.2999999999999998</v>
      </c>
      <c r="X129" s="79">
        <v>3.8</v>
      </c>
      <c r="Y129" s="82" t="str">
        <f>IF(OR(INDEX([1]Relação_Calibrações_Localização!$F$8:$F$259,MATCH(B129,[1]Relação_Calibrações_Localização!$B$8:$B$259,0))="PERDIDO",INDEX([1]Relação_Calibrações_Localização!F208:F458,MATCH(B129,[1]Relação_Calibrações_Localização!$B$8:$B$259,0))="NÃO LOCALIZADO"),"PERDIDO",
IF(OR(Q129="",T129="",W129=""),"INDETERMINADO",IF(MAX(R129,U129,X129)&lt;=5,"APROVADO","REPROVADO")))</f>
        <v>APROVADO</v>
      </c>
    </row>
    <row r="130" spans="1:25" x14ac:dyDescent="0.25">
      <c r="A130" s="72">
        <v>37341798</v>
      </c>
      <c r="B130" s="73" t="s">
        <v>158</v>
      </c>
      <c r="C130" s="74">
        <v>45855</v>
      </c>
      <c r="D130" s="75">
        <v>46220</v>
      </c>
      <c r="E130" s="48">
        <v>605522</v>
      </c>
      <c r="F130" s="76">
        <v>0.2</v>
      </c>
      <c r="G130" s="83">
        <v>0.09</v>
      </c>
      <c r="H130" s="78">
        <v>0.29000000000000004</v>
      </c>
      <c r="I130" s="83">
        <v>0.09</v>
      </c>
      <c r="J130" s="78">
        <v>0.29000000000000004</v>
      </c>
      <c r="K130" s="83">
        <v>0.09</v>
      </c>
      <c r="L130" s="78">
        <v>0.29000000000000004</v>
      </c>
      <c r="M130" s="83">
        <v>0.19</v>
      </c>
      <c r="N130" s="79">
        <v>0.39</v>
      </c>
      <c r="O130" s="53" t="str">
        <f>IF(OR(INDEX([1]Relação_Calibrações_Localização!$F$8:$F$259,MATCH(B130,[1]Relação_Calibrações_Localização!$B$8:$B$259,0))="PERDIDO",INDEX([1]Relação_Calibrações_Localização!F209:F459,MATCH(B130,[1]Relação_Calibrações_Localização!$B$8:$B$259,0))="NÃO LOCALIZADO"),"PERDIDO",
IF(OR(G130="",I130="",K130="",M130=""),"INDETERMINADO",IF(MAX(H130,J130,L130,N130)&lt;=0.5,"APROVADO","REPROVADO")))</f>
        <v>APROVADO</v>
      </c>
      <c r="P130" s="80">
        <v>0.4</v>
      </c>
      <c r="Q130" s="83">
        <v>3.1</v>
      </c>
      <c r="R130" s="79">
        <v>3.5</v>
      </c>
      <c r="S130" s="81">
        <v>1</v>
      </c>
      <c r="T130" s="83">
        <v>-0.5</v>
      </c>
      <c r="U130" s="79">
        <v>1.5</v>
      </c>
      <c r="V130" s="80">
        <v>1.5</v>
      </c>
      <c r="W130" s="83">
        <v>1.5</v>
      </c>
      <c r="X130" s="79">
        <v>3</v>
      </c>
      <c r="Y130" s="82" t="str">
        <f>IF(OR(INDEX([1]Relação_Calibrações_Localização!$F$8:$F$259,MATCH(B130,[1]Relação_Calibrações_Localização!$B$8:$B$259,0))="PERDIDO",INDEX([1]Relação_Calibrações_Localização!F209:F459,MATCH(B130,[1]Relação_Calibrações_Localização!$B$8:$B$259,0))="NÃO LOCALIZADO"),"PERDIDO",
IF(OR(Q130="",T130="",W130=""),"INDETERMINADO",IF(MAX(R130,U130,X130)&lt;=5,"APROVADO","REPROVADO")))</f>
        <v>APROVADO</v>
      </c>
    </row>
    <row r="131" spans="1:25" x14ac:dyDescent="0.25">
      <c r="A131" s="72">
        <v>37341801</v>
      </c>
      <c r="B131" s="73" t="s">
        <v>159</v>
      </c>
      <c r="C131" s="74">
        <v>45855</v>
      </c>
      <c r="D131" s="75">
        <v>46220</v>
      </c>
      <c r="E131" s="48">
        <v>605427</v>
      </c>
      <c r="F131" s="76">
        <v>0.2</v>
      </c>
      <c r="G131" s="83">
        <v>0.09</v>
      </c>
      <c r="H131" s="78">
        <v>0.29000000000000004</v>
      </c>
      <c r="I131" s="83">
        <v>0.09</v>
      </c>
      <c r="J131" s="78">
        <v>0.29000000000000004</v>
      </c>
      <c r="K131" s="83">
        <v>0.19</v>
      </c>
      <c r="L131" s="78">
        <v>0.39</v>
      </c>
      <c r="M131" s="83">
        <v>0.19</v>
      </c>
      <c r="N131" s="79">
        <v>0.39</v>
      </c>
      <c r="O131" s="53" t="str">
        <f>IF(OR(INDEX([1]Relação_Calibrações_Localização!$F$8:$F$259,MATCH(B131,[1]Relação_Calibrações_Localização!$B$8:$B$259,0))="PERDIDO",INDEX([1]Relação_Calibrações_Localização!F210:F460,MATCH(B131,[1]Relação_Calibrações_Localização!$B$8:$B$259,0))="NÃO LOCALIZADO"),"PERDIDO",
IF(OR(G131="",I131="",K131="",M131=""),"INDETERMINADO",IF(MAX(H131,J131,L131,N131)&lt;=0.5,"APROVADO","REPROVADO")))</f>
        <v>APROVADO</v>
      </c>
      <c r="P131" s="80">
        <v>0.4</v>
      </c>
      <c r="Q131" s="83">
        <v>3.5</v>
      </c>
      <c r="R131" s="79">
        <v>3.9</v>
      </c>
      <c r="S131" s="81">
        <v>1</v>
      </c>
      <c r="T131" s="83">
        <v>3.5</v>
      </c>
      <c r="U131" s="79">
        <v>4.5</v>
      </c>
      <c r="V131" s="80">
        <v>1.5</v>
      </c>
      <c r="W131" s="83">
        <v>1.6</v>
      </c>
      <c r="X131" s="79">
        <v>3.1</v>
      </c>
      <c r="Y131" s="82" t="str">
        <f>IF(OR(INDEX([1]Relação_Calibrações_Localização!$F$8:$F$259,MATCH(B131,[1]Relação_Calibrações_Localização!$B$8:$B$259,0))="PERDIDO",INDEX([1]Relação_Calibrações_Localização!F210:F460,MATCH(B131,[1]Relação_Calibrações_Localização!$B$8:$B$259,0))="NÃO LOCALIZADO"),"PERDIDO",
IF(OR(Q131="",T131="",W131=""),"INDETERMINADO",IF(MAX(R131,U131,X131)&lt;=5,"APROVADO","REPROVADO")))</f>
        <v>APROVADO</v>
      </c>
    </row>
    <row r="132" spans="1:25" x14ac:dyDescent="0.25">
      <c r="A132" s="72">
        <v>37341808</v>
      </c>
      <c r="B132" s="73" t="s">
        <v>160</v>
      </c>
      <c r="C132" s="74">
        <v>45855</v>
      </c>
      <c r="D132" s="75">
        <v>46220</v>
      </c>
      <c r="E132" s="48">
        <v>605440</v>
      </c>
      <c r="F132" s="76">
        <v>0.2</v>
      </c>
      <c r="G132" s="83">
        <v>-0.01</v>
      </c>
      <c r="H132" s="78">
        <v>0.21000000000000002</v>
      </c>
      <c r="I132" s="83">
        <v>0.09</v>
      </c>
      <c r="J132" s="78">
        <v>0.29000000000000004</v>
      </c>
      <c r="K132" s="83">
        <v>0.09</v>
      </c>
      <c r="L132" s="78">
        <v>0.29000000000000004</v>
      </c>
      <c r="M132" s="83">
        <v>0.19</v>
      </c>
      <c r="N132" s="79">
        <v>0.39</v>
      </c>
      <c r="O132" s="53" t="str">
        <f>IF(OR(INDEX([1]Relação_Calibrações_Localização!$F$8:$F$259,MATCH(B132,[1]Relação_Calibrações_Localização!$B$8:$B$259,0))="PERDIDO",INDEX([1]Relação_Calibrações_Localização!F214:F464,MATCH(B132,[1]Relação_Calibrações_Localização!$B$8:$B$259,0))="NÃO LOCALIZADO"),"PERDIDO",
IF(OR(G132="",I132="",K132="",M132=""),"INDETERMINADO",IF(MAX(H132,J132,L132,N132)&lt;=0.5,"APROVADO","REPROVADO")))</f>
        <v>APROVADO</v>
      </c>
      <c r="P132" s="80">
        <v>0.4</v>
      </c>
      <c r="Q132" s="83">
        <v>3.4</v>
      </c>
      <c r="R132" s="79">
        <v>3.8</v>
      </c>
      <c r="S132" s="81">
        <v>1</v>
      </c>
      <c r="T132" s="83">
        <v>3.6</v>
      </c>
      <c r="U132" s="79">
        <v>4.5999999999999996</v>
      </c>
      <c r="V132" s="80">
        <v>1.5</v>
      </c>
      <c r="W132" s="83">
        <v>2.4</v>
      </c>
      <c r="X132" s="79">
        <v>3.9</v>
      </c>
      <c r="Y132" s="82" t="str">
        <f>IF(OR(INDEX([1]Relação_Calibrações_Localização!$F$8:$F$259,MATCH(B132,[1]Relação_Calibrações_Localização!$B$8:$B$259,0))="PERDIDO",INDEX([1]Relação_Calibrações_Localização!F214:F464,MATCH(B132,[1]Relação_Calibrações_Localização!$B$8:$B$259,0))="NÃO LOCALIZADO"),"PERDIDO",
IF(OR(Q132="",T132="",W132=""),"INDETERMINADO",IF(MAX(R132,U132,X132)&lt;=5,"APROVADO","REPROVADO")))</f>
        <v>APROVADO</v>
      </c>
    </row>
    <row r="133" spans="1:25" x14ac:dyDescent="0.25">
      <c r="A133" s="72">
        <v>37341809</v>
      </c>
      <c r="B133" s="73" t="s">
        <v>161</v>
      </c>
      <c r="C133" s="74">
        <v>45855</v>
      </c>
      <c r="D133" s="75">
        <v>46220</v>
      </c>
      <c r="E133" s="48">
        <v>605461</v>
      </c>
      <c r="F133" s="76">
        <v>0.2</v>
      </c>
      <c r="G133" s="83">
        <v>-0.01</v>
      </c>
      <c r="H133" s="78">
        <v>0.21000000000000002</v>
      </c>
      <c r="I133" s="83">
        <v>-0.01</v>
      </c>
      <c r="J133" s="78">
        <v>0.21000000000000002</v>
      </c>
      <c r="K133" s="83">
        <v>-0.01</v>
      </c>
      <c r="L133" s="78">
        <v>0.21000000000000002</v>
      </c>
      <c r="M133" s="83">
        <v>0.19</v>
      </c>
      <c r="N133" s="79">
        <v>0.39</v>
      </c>
      <c r="O133" s="53" t="str">
        <f>IF(OR(INDEX([1]Relação_Calibrações_Localização!$F$8:$F$259,MATCH(B133,[1]Relação_Calibrações_Localização!$B$8:$B$259,0))="PERDIDO",INDEX([1]Relação_Calibrações_Localização!F215:F465,MATCH(B133,[1]Relação_Calibrações_Localização!$B$8:$B$259,0))="NÃO LOCALIZADO"),"PERDIDO",
IF(OR(G133="",I133="",K133="",M133=""),"INDETERMINADO",IF(MAX(H133,J133,L133,N133)&lt;=0.5,"APROVADO","REPROVADO")))</f>
        <v>APROVADO</v>
      </c>
      <c r="P133" s="80">
        <v>0.4</v>
      </c>
      <c r="Q133" s="83">
        <v>3.7</v>
      </c>
      <c r="R133" s="79">
        <v>4.1000000000000005</v>
      </c>
      <c r="S133" s="81">
        <v>1</v>
      </c>
      <c r="T133" s="83">
        <v>3.5</v>
      </c>
      <c r="U133" s="79">
        <v>4.5</v>
      </c>
      <c r="V133" s="80">
        <v>1.5</v>
      </c>
      <c r="W133" s="83">
        <v>1.2</v>
      </c>
      <c r="X133" s="79">
        <v>2.7</v>
      </c>
      <c r="Y133" s="82" t="str">
        <f>IF(OR(INDEX([1]Relação_Calibrações_Localização!$F$8:$F$259,MATCH(B133,[1]Relação_Calibrações_Localização!$B$8:$B$259,0))="PERDIDO",INDEX([1]Relação_Calibrações_Localização!F215:F465,MATCH(B133,[1]Relação_Calibrações_Localização!$B$8:$B$259,0))="NÃO LOCALIZADO"),"PERDIDO",
IF(OR(Q133="",T133="",W133=""),"INDETERMINADO",IF(MAX(R133,U133,X133)&lt;=5,"APROVADO","REPROVADO")))</f>
        <v>APROVADO</v>
      </c>
    </row>
    <row r="134" spans="1:25" x14ac:dyDescent="0.25">
      <c r="A134" s="72">
        <v>37341812</v>
      </c>
      <c r="B134" s="73" t="s">
        <v>162</v>
      </c>
      <c r="C134" s="74">
        <v>45855</v>
      </c>
      <c r="D134" s="75">
        <v>46220</v>
      </c>
      <c r="E134" s="48">
        <v>605487</v>
      </c>
      <c r="F134" s="76">
        <v>0.2</v>
      </c>
      <c r="G134" s="83">
        <v>-0.11</v>
      </c>
      <c r="H134" s="78">
        <v>0.31</v>
      </c>
      <c r="I134" s="83">
        <v>-0.01</v>
      </c>
      <c r="J134" s="78">
        <v>0.21000000000000002</v>
      </c>
      <c r="K134" s="83">
        <v>-0.01</v>
      </c>
      <c r="L134" s="78">
        <v>0.21000000000000002</v>
      </c>
      <c r="M134" s="83">
        <v>0.09</v>
      </c>
      <c r="N134" s="79">
        <v>0.29000000000000004</v>
      </c>
      <c r="O134" s="53" t="str">
        <f>IF(OR(INDEX([1]Relação_Calibrações_Localização!$F$8:$F$259,MATCH(B134,[1]Relação_Calibrações_Localização!$B$8:$B$259,0))="PERDIDO",INDEX([1]Relação_Calibrações_Localização!F216:F466,MATCH(B134,[1]Relação_Calibrações_Localização!$B$8:$B$259,0))="NÃO LOCALIZADO"),"PERDIDO",
IF(OR(G134="",I134="",K134="",M134=""),"INDETERMINADO",IF(MAX(H134,J134,L134,N134)&lt;=0.5,"APROVADO","REPROVADO")))</f>
        <v>APROVADO</v>
      </c>
      <c r="P134" s="80">
        <v>0.4</v>
      </c>
      <c r="Q134" s="83">
        <v>1.2</v>
      </c>
      <c r="R134" s="79">
        <v>1.6</v>
      </c>
      <c r="S134" s="81">
        <v>1</v>
      </c>
      <c r="T134" s="83">
        <v>1.3</v>
      </c>
      <c r="U134" s="79">
        <v>2.2999999999999998</v>
      </c>
      <c r="V134" s="80">
        <v>1.5</v>
      </c>
      <c r="W134" s="83">
        <v>0.2</v>
      </c>
      <c r="X134" s="79">
        <v>1.7</v>
      </c>
      <c r="Y134" s="82" t="str">
        <f>IF(OR(INDEX([1]Relação_Calibrações_Localização!$F$8:$F$259,MATCH(B134,[1]Relação_Calibrações_Localização!$B$8:$B$259,0))="PERDIDO",INDEX([1]Relação_Calibrações_Localização!F216:F466,MATCH(B134,[1]Relação_Calibrações_Localização!$B$8:$B$259,0))="NÃO LOCALIZADO"),"PERDIDO",
IF(OR(Q134="",T134="",W134=""),"INDETERMINADO",IF(MAX(R134,U134,X134)&lt;=5,"APROVADO","REPROVADO")))</f>
        <v>APROVADO</v>
      </c>
    </row>
    <row r="135" spans="1:25" x14ac:dyDescent="0.25">
      <c r="A135" s="72">
        <v>37341816</v>
      </c>
      <c r="B135" s="73" t="s">
        <v>163</v>
      </c>
      <c r="C135" s="74">
        <v>45855</v>
      </c>
      <c r="D135" s="75">
        <v>46220</v>
      </c>
      <c r="E135" s="48">
        <v>605495</v>
      </c>
      <c r="F135" s="76">
        <v>0.2</v>
      </c>
      <c r="G135" s="83">
        <v>-0.01</v>
      </c>
      <c r="H135" s="78">
        <v>0.21000000000000002</v>
      </c>
      <c r="I135" s="83">
        <v>-0.11</v>
      </c>
      <c r="J135" s="78">
        <v>0.31</v>
      </c>
      <c r="K135" s="83">
        <v>-0.21</v>
      </c>
      <c r="L135" s="78">
        <v>0.41000000000000003</v>
      </c>
      <c r="M135" s="83">
        <v>-0.21</v>
      </c>
      <c r="N135" s="79">
        <v>0.41000000000000003</v>
      </c>
      <c r="O135" s="53" t="str">
        <f>IF(OR(INDEX([1]Relação_Calibrações_Localização!$F$8:$F$259,MATCH(B135,[1]Relação_Calibrações_Localização!$B$8:$B$259,0))="PERDIDO",INDEX([1]Relação_Calibrações_Localização!F219:F469,MATCH(B135,[1]Relação_Calibrações_Localização!$B$8:$B$259,0))="NÃO LOCALIZADO"),"PERDIDO",
IF(OR(G135="",I135="",K135="",M135=""),"INDETERMINADO",IF(MAX(H135,J135,L135,N135)&lt;=0.5,"APROVADO","REPROVADO")))</f>
        <v>APROVADO</v>
      </c>
      <c r="P135" s="80">
        <v>0.4</v>
      </c>
      <c r="Q135" s="83">
        <v>3.4</v>
      </c>
      <c r="R135" s="79">
        <v>3.8</v>
      </c>
      <c r="S135" s="81">
        <v>1</v>
      </c>
      <c r="T135" s="83">
        <v>2.7</v>
      </c>
      <c r="U135" s="79">
        <v>3.7</v>
      </c>
      <c r="V135" s="80">
        <v>1.5</v>
      </c>
      <c r="W135" s="83">
        <v>1</v>
      </c>
      <c r="X135" s="79">
        <v>2.5</v>
      </c>
      <c r="Y135" s="82" t="str">
        <f>IF(OR(INDEX([1]Relação_Calibrações_Localização!$F$8:$F$259,MATCH(B135,[1]Relação_Calibrações_Localização!$B$8:$B$259,0))="PERDIDO",INDEX([1]Relação_Calibrações_Localização!F219:F469,MATCH(B135,[1]Relação_Calibrações_Localização!$B$8:$B$259,0))="NÃO LOCALIZADO"),"PERDIDO",
IF(OR(Q135="",T135="",W135=""),"INDETERMINADO",IF(MAX(R135,U135,X135)&lt;=5,"APROVADO","REPROVADO")))</f>
        <v>APROVADO</v>
      </c>
    </row>
    <row r="136" spans="1:25" x14ac:dyDescent="0.25">
      <c r="A136" s="72">
        <v>37341820</v>
      </c>
      <c r="B136" s="73" t="s">
        <v>164</v>
      </c>
      <c r="C136" s="74">
        <v>45855</v>
      </c>
      <c r="D136" s="75">
        <v>46220</v>
      </c>
      <c r="E136" s="48">
        <v>605451</v>
      </c>
      <c r="F136" s="76">
        <v>0.2</v>
      </c>
      <c r="G136" s="83">
        <v>-0.21</v>
      </c>
      <c r="H136" s="78">
        <v>0.41000000000000003</v>
      </c>
      <c r="I136" s="83">
        <v>-0.01</v>
      </c>
      <c r="J136" s="78">
        <v>0.21000000000000002</v>
      </c>
      <c r="K136" s="83">
        <v>0.09</v>
      </c>
      <c r="L136" s="78">
        <v>0.29000000000000004</v>
      </c>
      <c r="M136" s="83">
        <v>0.19</v>
      </c>
      <c r="N136" s="79">
        <v>0.39</v>
      </c>
      <c r="O136" s="53" t="str">
        <f>IF(OR(INDEX([1]Relação_Calibrações_Localização!$F$8:$F$259,MATCH(B136,[1]Relação_Calibrações_Localização!$B$8:$B$259,0))="PERDIDO",INDEX([1]Relação_Calibrações_Localização!F221:F471,MATCH(B136,[1]Relação_Calibrações_Localização!$B$8:$B$259,0))="NÃO LOCALIZADO"),"PERDIDO",
IF(OR(G136="",I136="",K136="",M136=""),"INDETERMINADO",IF(MAX(H136,J136,L136,N136)&lt;=0.5,"APROVADO","REPROVADO")))</f>
        <v>APROVADO</v>
      </c>
      <c r="P136" s="80">
        <v>0.4</v>
      </c>
      <c r="Q136" s="83">
        <v>2.6</v>
      </c>
      <c r="R136" s="79">
        <v>3</v>
      </c>
      <c r="S136" s="81">
        <v>1</v>
      </c>
      <c r="T136" s="83">
        <v>3.5</v>
      </c>
      <c r="U136" s="79">
        <v>4.5</v>
      </c>
      <c r="V136" s="80">
        <v>1.5</v>
      </c>
      <c r="W136" s="83">
        <v>3.6</v>
      </c>
      <c r="X136" s="79">
        <v>5.0999999999999996</v>
      </c>
      <c r="Y136" s="82" t="str">
        <f>IF(OR(INDEX([1]Relação_Calibrações_Localização!$F$8:$F$259,MATCH(B136,[1]Relação_Calibrações_Localização!$B$8:$B$259,0))="PERDIDO",INDEX([1]Relação_Calibrações_Localização!F221:F471,MATCH(B136,[1]Relação_Calibrações_Localização!$B$8:$B$259,0))="NÃO LOCALIZADO"),"PERDIDO",
IF(OR(Q136="",T136="",W136=""),"INDETERMINADO",IF(MAX(R136,U136,X136)&lt;=5,"APROVADO","REPROVADO")))</f>
        <v>REPROVADO</v>
      </c>
    </row>
    <row r="137" spans="1:25" x14ac:dyDescent="0.25">
      <c r="A137" s="72">
        <v>37341833</v>
      </c>
      <c r="B137" s="73" t="s">
        <v>165</v>
      </c>
      <c r="C137" s="74">
        <v>45855</v>
      </c>
      <c r="D137" s="75">
        <v>46220</v>
      </c>
      <c r="E137" s="48">
        <v>605464</v>
      </c>
      <c r="F137" s="76">
        <v>0.2</v>
      </c>
      <c r="G137" s="83">
        <v>-0.01</v>
      </c>
      <c r="H137" s="78">
        <v>0.21000000000000002</v>
      </c>
      <c r="I137" s="83">
        <v>-0.01</v>
      </c>
      <c r="J137" s="78">
        <v>0.21000000000000002</v>
      </c>
      <c r="K137" s="83">
        <v>0.09</v>
      </c>
      <c r="L137" s="78">
        <v>0.29000000000000004</v>
      </c>
      <c r="M137" s="83">
        <v>0.09</v>
      </c>
      <c r="N137" s="79">
        <v>0.29000000000000004</v>
      </c>
      <c r="O137" s="53" t="str">
        <f>IF(OR(INDEX([1]Relação_Calibrações_Localização!$F$8:$F$259,MATCH(B137,[1]Relação_Calibrações_Localização!$B$8:$B$259,0))="PERDIDO",INDEX([1]Relação_Calibrações_Localização!F222:F472,MATCH(B137,[1]Relação_Calibrações_Localização!$B$8:$B$259,0))="NÃO LOCALIZADO"),"PERDIDO",
IF(OR(G137="",I137="",K137="",M137=""),"INDETERMINADO",IF(MAX(H137,J137,L137,N137)&lt;=0.5,"APROVADO","REPROVADO")))</f>
        <v>APROVADO</v>
      </c>
      <c r="P137" s="80">
        <v>0.4</v>
      </c>
      <c r="Q137" s="83">
        <v>3.1</v>
      </c>
      <c r="R137" s="79">
        <v>3.5</v>
      </c>
      <c r="S137" s="81">
        <v>1</v>
      </c>
      <c r="T137" s="83">
        <v>3.6</v>
      </c>
      <c r="U137" s="79">
        <v>4.5999999999999996</v>
      </c>
      <c r="V137" s="80">
        <v>1.5</v>
      </c>
      <c r="W137" s="83">
        <v>1</v>
      </c>
      <c r="X137" s="79">
        <v>2.5</v>
      </c>
      <c r="Y137" s="82" t="str">
        <f>IF(OR(INDEX([1]Relação_Calibrações_Localização!$F$8:$F$259,MATCH(B137,[1]Relação_Calibrações_Localização!$B$8:$B$259,0))="PERDIDO",INDEX([1]Relação_Calibrações_Localização!F222:F472,MATCH(B137,[1]Relação_Calibrações_Localização!$B$8:$B$259,0))="NÃO LOCALIZADO"),"PERDIDO",
IF(OR(Q137="",T137="",W137=""),"INDETERMINADO",IF(MAX(R137,U137,X137)&lt;=5,"APROVADO","REPROVADO")))</f>
        <v>APROVADO</v>
      </c>
    </row>
    <row r="138" spans="1:25" x14ac:dyDescent="0.25">
      <c r="A138" s="72">
        <v>37341939</v>
      </c>
      <c r="B138" s="73" t="s">
        <v>166</v>
      </c>
      <c r="C138" s="74">
        <v>45855</v>
      </c>
      <c r="D138" s="75">
        <v>46220</v>
      </c>
      <c r="E138" s="48">
        <v>605441</v>
      </c>
      <c r="F138" s="76">
        <v>0.2</v>
      </c>
      <c r="G138" s="83">
        <v>0.09</v>
      </c>
      <c r="H138" s="78">
        <v>0.29000000000000004</v>
      </c>
      <c r="I138" s="83">
        <v>0.09</v>
      </c>
      <c r="J138" s="78">
        <v>0.29000000000000004</v>
      </c>
      <c r="K138" s="83">
        <v>-0.01</v>
      </c>
      <c r="L138" s="78">
        <v>0.21000000000000002</v>
      </c>
      <c r="M138" s="83">
        <v>-0.01</v>
      </c>
      <c r="N138" s="79">
        <v>0.21000000000000002</v>
      </c>
      <c r="O138" s="53" t="str">
        <f>IF(OR(INDEX([1]Relação_Calibrações_Localização!$F$8:$F$259,MATCH(B138,[1]Relação_Calibrações_Localização!$B$8:$B$259,0))="PERDIDO",INDEX([1]Relação_Calibrações_Localização!F226:F476,MATCH(B138,[1]Relação_Calibrações_Localização!$B$8:$B$259,0))="NÃO LOCALIZADO"),"PERDIDO",
IF(OR(G138="",I138="",K138="",M138=""),"INDETERMINADO",IF(MAX(H138,J138,L138,N138)&lt;=0.5,"APROVADO","REPROVADO")))</f>
        <v>APROVADO</v>
      </c>
      <c r="P138" s="80">
        <v>0.4</v>
      </c>
      <c r="Q138" s="83">
        <v>2.2999999999999998</v>
      </c>
      <c r="R138" s="79">
        <v>2.6999999999999997</v>
      </c>
      <c r="S138" s="81">
        <v>1</v>
      </c>
      <c r="T138" s="83">
        <v>2.2000000000000002</v>
      </c>
      <c r="U138" s="79">
        <v>3.2</v>
      </c>
      <c r="V138" s="80">
        <v>1.5</v>
      </c>
      <c r="W138" s="83">
        <v>0.4</v>
      </c>
      <c r="X138" s="79">
        <v>1.9</v>
      </c>
      <c r="Y138" s="82" t="str">
        <f>IF(OR(INDEX([1]Relação_Calibrações_Localização!$F$8:$F$259,MATCH(B138,[1]Relação_Calibrações_Localização!$B$8:$B$259,0))="PERDIDO",INDEX([1]Relação_Calibrações_Localização!F226:F476,MATCH(B138,[1]Relação_Calibrações_Localização!$B$8:$B$259,0))="NÃO LOCALIZADO"),"PERDIDO",
IF(OR(Q138="",T138="",W138=""),"INDETERMINADO",IF(MAX(R138,U138,X138)&lt;=5,"APROVADO","REPROVADO")))</f>
        <v>APROVADO</v>
      </c>
    </row>
    <row r="139" spans="1:25" x14ac:dyDescent="0.25">
      <c r="A139" s="72">
        <v>37342167</v>
      </c>
      <c r="B139" s="73" t="s">
        <v>167</v>
      </c>
      <c r="C139" s="74">
        <v>45855</v>
      </c>
      <c r="D139" s="75">
        <v>46220</v>
      </c>
      <c r="E139" s="48">
        <v>605423</v>
      </c>
      <c r="F139" s="76">
        <v>0.2</v>
      </c>
      <c r="G139" s="83">
        <v>-0.11</v>
      </c>
      <c r="H139" s="78">
        <v>0.31</v>
      </c>
      <c r="I139" s="83">
        <v>-0.11</v>
      </c>
      <c r="J139" s="78">
        <v>0.31</v>
      </c>
      <c r="K139" s="83">
        <v>-0.01</v>
      </c>
      <c r="L139" s="78">
        <v>0.21000000000000002</v>
      </c>
      <c r="M139" s="83">
        <v>0.09</v>
      </c>
      <c r="N139" s="79">
        <v>0.29000000000000004</v>
      </c>
      <c r="O139" s="53" t="str">
        <f>IF(OR(INDEX([1]Relação_Calibrações_Localização!$F$8:$F$259,MATCH(B139,[1]Relação_Calibrações_Localização!$B$8:$B$259,0))="PERDIDO",INDEX([1]Relação_Calibrações_Localização!F230:F480,MATCH(B139,[1]Relação_Calibrações_Localização!$B$8:$B$259,0))="NÃO LOCALIZADO"),"PERDIDO",
IF(OR(G139="",I139="",K139="",M139=""),"INDETERMINADO",IF(MAX(H139,J139,L139,N139)&lt;=0.5,"APROVADO","REPROVADO")))</f>
        <v>APROVADO</v>
      </c>
      <c r="P139" s="80">
        <v>0.4</v>
      </c>
      <c r="Q139" s="83">
        <v>3</v>
      </c>
      <c r="R139" s="79">
        <v>3.4</v>
      </c>
      <c r="S139" s="81">
        <v>1</v>
      </c>
      <c r="T139" s="83">
        <v>-1.4</v>
      </c>
      <c r="U139" s="79">
        <v>2.4</v>
      </c>
      <c r="V139" s="80">
        <v>1.5</v>
      </c>
      <c r="W139" s="83">
        <v>0</v>
      </c>
      <c r="X139" s="79">
        <v>1.5</v>
      </c>
      <c r="Y139" s="82" t="str">
        <f>IF(OR(INDEX([1]Relação_Calibrações_Localização!$F$8:$F$259,MATCH(B139,[1]Relação_Calibrações_Localização!$B$8:$B$259,0))="PERDIDO",INDEX([1]Relação_Calibrações_Localização!F230:F480,MATCH(B139,[1]Relação_Calibrações_Localização!$B$8:$B$259,0))="NÃO LOCALIZADO"),"PERDIDO",
IF(OR(Q139="",T139="",W139=""),"INDETERMINADO",IF(MAX(R139,U139,X139)&lt;=5,"APROVADO","REPROVADO")))</f>
        <v>APROVADO</v>
      </c>
    </row>
    <row r="140" spans="1:25" x14ac:dyDescent="0.25">
      <c r="A140" s="72">
        <v>37342169</v>
      </c>
      <c r="B140" s="73" t="s">
        <v>168</v>
      </c>
      <c r="C140" s="74">
        <v>45855</v>
      </c>
      <c r="D140" s="75">
        <v>46220</v>
      </c>
      <c r="E140" s="48">
        <v>605418</v>
      </c>
      <c r="F140" s="76">
        <v>0.2</v>
      </c>
      <c r="G140" s="83">
        <v>-0.11</v>
      </c>
      <c r="H140" s="78">
        <v>0.31</v>
      </c>
      <c r="I140" s="83">
        <v>-0.01</v>
      </c>
      <c r="J140" s="78">
        <v>0.21000000000000002</v>
      </c>
      <c r="K140" s="83">
        <v>-0.01</v>
      </c>
      <c r="L140" s="78">
        <v>0.21000000000000002</v>
      </c>
      <c r="M140" s="83">
        <v>0.19</v>
      </c>
      <c r="N140" s="79">
        <v>0.39</v>
      </c>
      <c r="O140" s="53" t="str">
        <f>IF(OR(INDEX([1]Relação_Calibrações_Localização!$F$8:$F$259,MATCH(B140,[1]Relação_Calibrações_Localização!$B$8:$B$259,0))="PERDIDO",INDEX([1]Relação_Calibrações_Localização!F231:F481,MATCH(B140,[1]Relação_Calibrações_Localização!$B$8:$B$259,0))="NÃO LOCALIZADO"),"PERDIDO",
IF(OR(G140="",I140="",K140="",M140=""),"INDETERMINADO",IF(MAX(H140,J140,L140,N140)&lt;=0.5,"APROVADO","REPROVADO")))</f>
        <v>APROVADO</v>
      </c>
      <c r="P140" s="80">
        <v>0.4</v>
      </c>
      <c r="Q140" s="83">
        <v>3.6</v>
      </c>
      <c r="R140" s="79">
        <v>4</v>
      </c>
      <c r="S140" s="81">
        <v>1</v>
      </c>
      <c r="T140" s="83">
        <v>2.8</v>
      </c>
      <c r="U140" s="79">
        <v>3.8</v>
      </c>
      <c r="V140" s="80">
        <v>1.5</v>
      </c>
      <c r="W140" s="83">
        <v>-0.4</v>
      </c>
      <c r="X140" s="79">
        <v>1.9</v>
      </c>
      <c r="Y140" s="82" t="str">
        <f>IF(OR(INDEX([1]Relação_Calibrações_Localização!$F$8:$F$259,MATCH(B140,[1]Relação_Calibrações_Localização!$B$8:$B$259,0))="PERDIDO",INDEX([1]Relação_Calibrações_Localização!F231:F481,MATCH(B140,[1]Relação_Calibrações_Localização!$B$8:$B$259,0))="NÃO LOCALIZADO"),"PERDIDO",
IF(OR(Q140="",T140="",W140=""),"INDETERMINADO",IF(MAX(R140,U140,X140)&lt;=5,"APROVADO","REPROVADO")))</f>
        <v>APROVADO</v>
      </c>
    </row>
    <row r="141" spans="1:25" x14ac:dyDescent="0.25">
      <c r="A141" s="72">
        <v>37342178</v>
      </c>
      <c r="B141" s="73" t="s">
        <v>169</v>
      </c>
      <c r="C141" s="74">
        <v>45855</v>
      </c>
      <c r="D141" s="75">
        <v>46220</v>
      </c>
      <c r="E141" s="48">
        <v>605524</v>
      </c>
      <c r="F141" s="76">
        <v>0.2</v>
      </c>
      <c r="G141" s="83">
        <v>0.09</v>
      </c>
      <c r="H141" s="78">
        <v>0.29000000000000004</v>
      </c>
      <c r="I141" s="83">
        <v>-0.01</v>
      </c>
      <c r="J141" s="78">
        <v>0.21000000000000002</v>
      </c>
      <c r="K141" s="83">
        <v>-0.21</v>
      </c>
      <c r="L141" s="78">
        <v>0.41000000000000003</v>
      </c>
      <c r="M141" s="83">
        <v>-0.21</v>
      </c>
      <c r="N141" s="79">
        <v>0.41000000000000003</v>
      </c>
      <c r="O141" s="53" t="str">
        <f>IF(OR(INDEX([1]Relação_Calibrações_Localização!$F$8:$F$259,MATCH(B141,[1]Relação_Calibrações_Localização!$B$8:$B$259,0))="PERDIDO",INDEX([1]Relação_Calibrações_Localização!F232:F482,MATCH(B141,[1]Relação_Calibrações_Localização!$B$8:$B$259,0))="NÃO LOCALIZADO"),"PERDIDO",
IF(OR(G141="",I141="",K141="",M141=""),"INDETERMINADO",IF(MAX(H141,J141,L141,N141)&lt;=0.5,"APROVADO","REPROVADO")))</f>
        <v>APROVADO</v>
      </c>
      <c r="P141" s="80">
        <v>0.4</v>
      </c>
      <c r="Q141" s="83">
        <v>3.8</v>
      </c>
      <c r="R141" s="79">
        <v>4.2</v>
      </c>
      <c r="S141" s="81">
        <v>1</v>
      </c>
      <c r="T141" s="83">
        <v>3.3</v>
      </c>
      <c r="U141" s="79">
        <v>4.3</v>
      </c>
      <c r="V141" s="80">
        <v>1.5</v>
      </c>
      <c r="W141" s="83">
        <v>3</v>
      </c>
      <c r="X141" s="79">
        <v>4.5</v>
      </c>
      <c r="Y141" s="82" t="str">
        <f>IF(OR(INDEX([1]Relação_Calibrações_Localização!$F$8:$F$259,MATCH(B141,[1]Relação_Calibrações_Localização!$B$8:$B$259,0))="PERDIDO",INDEX([1]Relação_Calibrações_Localização!F232:F482,MATCH(B141,[1]Relação_Calibrações_Localização!$B$8:$B$259,0))="NÃO LOCALIZADO"),"PERDIDO",
IF(OR(Q141="",T141="",W141=""),"INDETERMINADO",IF(MAX(R141,U141,X141)&lt;=5,"APROVADO","REPROVADO")))</f>
        <v>APROVADO</v>
      </c>
    </row>
    <row r="142" spans="1:25" x14ac:dyDescent="0.25">
      <c r="A142" s="72">
        <v>37342246</v>
      </c>
      <c r="B142" s="73" t="s">
        <v>170</v>
      </c>
      <c r="C142" s="74">
        <v>45855</v>
      </c>
      <c r="D142" s="75">
        <v>46220</v>
      </c>
      <c r="E142" s="48">
        <v>605494</v>
      </c>
      <c r="F142" s="76">
        <v>0.2</v>
      </c>
      <c r="G142" s="83">
        <v>-0.11</v>
      </c>
      <c r="H142" s="78">
        <v>0.31</v>
      </c>
      <c r="I142" s="83">
        <v>-0.11</v>
      </c>
      <c r="J142" s="78">
        <v>0.31</v>
      </c>
      <c r="K142" s="83">
        <v>0.09</v>
      </c>
      <c r="L142" s="78">
        <v>0.29000000000000004</v>
      </c>
      <c r="M142" s="83">
        <v>0.19</v>
      </c>
      <c r="N142" s="79">
        <v>0.39</v>
      </c>
      <c r="O142" s="53" t="str">
        <f>IF(OR(INDEX([1]Relação_Calibrações_Localização!$F$8:$F$259,MATCH(B142,[1]Relação_Calibrações_Localização!$B$8:$B$259,0))="PERDIDO",INDEX([1]Relação_Calibrações_Localização!F236:F486,MATCH(B142,[1]Relação_Calibrações_Localização!$B$8:$B$259,0))="NÃO LOCALIZADO"),"PERDIDO",
IF(OR(G142="",I142="",K142="",M142=""),"INDETERMINADO",IF(MAX(H142,J142,L142,N142)&lt;=0.5,"APROVADO","REPROVADO")))</f>
        <v>APROVADO</v>
      </c>
      <c r="P142" s="80">
        <v>0.4</v>
      </c>
      <c r="Q142" s="83">
        <v>2.9</v>
      </c>
      <c r="R142" s="79">
        <v>3.3</v>
      </c>
      <c r="S142" s="81">
        <v>1</v>
      </c>
      <c r="T142" s="83">
        <v>1.3</v>
      </c>
      <c r="U142" s="79">
        <v>2.2999999999999998</v>
      </c>
      <c r="V142" s="80">
        <v>1.5</v>
      </c>
      <c r="W142" s="83">
        <v>1</v>
      </c>
      <c r="X142" s="79">
        <v>2.5</v>
      </c>
      <c r="Y142" s="82" t="str">
        <f>IF(OR(INDEX([1]Relação_Calibrações_Localização!$F$8:$F$259,MATCH(B142,[1]Relação_Calibrações_Localização!$B$8:$B$259,0))="PERDIDO",INDEX([1]Relação_Calibrações_Localização!F236:F486,MATCH(B142,[1]Relação_Calibrações_Localização!$B$8:$B$259,0))="NÃO LOCALIZADO"),"PERDIDO",
IF(OR(Q142="",T142="",W142=""),"INDETERMINADO",IF(MAX(R142,U142,X142)&lt;=5,"APROVADO","REPROVADO")))</f>
        <v>APROVADO</v>
      </c>
    </row>
    <row r="143" spans="1:25" x14ac:dyDescent="0.25">
      <c r="A143" s="72">
        <v>37343027</v>
      </c>
      <c r="B143" s="73" t="s">
        <v>171</v>
      </c>
      <c r="C143" s="74">
        <v>45855</v>
      </c>
      <c r="D143" s="75">
        <v>46220</v>
      </c>
      <c r="E143" s="48">
        <v>605526</v>
      </c>
      <c r="F143" s="76">
        <v>0.2</v>
      </c>
      <c r="G143" s="83">
        <v>-0.21</v>
      </c>
      <c r="H143" s="78">
        <v>0.41000000000000003</v>
      </c>
      <c r="I143" s="83">
        <v>-0.11</v>
      </c>
      <c r="J143" s="78">
        <v>0.31</v>
      </c>
      <c r="K143" s="83">
        <v>-0.11</v>
      </c>
      <c r="L143" s="78">
        <v>0.31</v>
      </c>
      <c r="M143" s="83">
        <v>0.09</v>
      </c>
      <c r="N143" s="79">
        <v>0.29000000000000004</v>
      </c>
      <c r="O143" s="53" t="str">
        <f>IF(OR(INDEX([1]Relação_Calibrações_Localização!$F$8:$F$259,MATCH(B143,[1]Relação_Calibrações_Localização!$B$8:$B$259,0))="PERDIDO",INDEX([1]Relação_Calibrações_Localização!F238:F488,MATCH(B143,[1]Relação_Calibrações_Localização!$B$8:$B$259,0))="NÃO LOCALIZADO"),"PERDIDO",
IF(OR(G143="",I143="",K143="",M143=""),"INDETERMINADO",IF(MAX(H143,J143,L143,N143)&lt;=0.5,"APROVADO","REPROVADO")))</f>
        <v>APROVADO</v>
      </c>
      <c r="P143" s="80">
        <v>0.4</v>
      </c>
      <c r="Q143" s="83">
        <v>2.2999999999999998</v>
      </c>
      <c r="R143" s="79">
        <v>2.6999999999999997</v>
      </c>
      <c r="S143" s="81">
        <v>1</v>
      </c>
      <c r="T143" s="83">
        <v>-1.7</v>
      </c>
      <c r="U143" s="79">
        <v>2.7</v>
      </c>
      <c r="V143" s="80">
        <v>1.5</v>
      </c>
      <c r="W143" s="83">
        <v>0.1</v>
      </c>
      <c r="X143" s="79">
        <v>1.6</v>
      </c>
      <c r="Y143" s="82" t="str">
        <f>IF(OR(INDEX([1]Relação_Calibrações_Localização!$F$8:$F$259,MATCH(B143,[1]Relação_Calibrações_Localização!$B$8:$B$259,0))="PERDIDO",INDEX([1]Relação_Calibrações_Localização!F238:F488,MATCH(B143,[1]Relação_Calibrações_Localização!$B$8:$B$259,0))="NÃO LOCALIZADO"),"PERDIDO",
IF(OR(Q143="",T143="",W143=""),"INDETERMINADO",IF(MAX(R143,U143,X143)&lt;=5,"APROVADO","REPROVADO")))</f>
        <v>APROVADO</v>
      </c>
    </row>
    <row r="144" spans="1:25" x14ac:dyDescent="0.25">
      <c r="A144" s="72">
        <v>37343047</v>
      </c>
      <c r="B144" s="73" t="s">
        <v>172</v>
      </c>
      <c r="C144" s="74">
        <v>45855</v>
      </c>
      <c r="D144" s="75">
        <v>46220</v>
      </c>
      <c r="E144" s="48">
        <v>605538</v>
      </c>
      <c r="F144" s="76">
        <v>0.2</v>
      </c>
      <c r="G144" s="83">
        <v>0.09</v>
      </c>
      <c r="H144" s="78">
        <v>0.29000000000000004</v>
      </c>
      <c r="I144" s="83">
        <v>-0.01</v>
      </c>
      <c r="J144" s="78">
        <v>0.21000000000000002</v>
      </c>
      <c r="K144" s="83">
        <v>-0.01</v>
      </c>
      <c r="L144" s="78">
        <v>0.21000000000000002</v>
      </c>
      <c r="M144" s="83">
        <v>-0.11</v>
      </c>
      <c r="N144" s="79">
        <v>0.31</v>
      </c>
      <c r="O144" s="53" t="str">
        <f>IF(OR(INDEX([1]Relação_Calibrações_Localização!$F$8:$F$259,MATCH(B144,[1]Relação_Calibrações_Localização!$B$8:$B$259,0))="PERDIDO",INDEX([1]Relação_Calibrações_Localização!F240:F490,MATCH(B144,[1]Relação_Calibrações_Localização!$B$8:$B$259,0))="NÃO LOCALIZADO"),"PERDIDO",
IF(OR(G144="",I144="",K144="",M144=""),"INDETERMINADO",IF(MAX(H144,J144,L144,N144)&lt;=0.5,"APROVADO","REPROVADO")))</f>
        <v>APROVADO</v>
      </c>
      <c r="P144" s="80">
        <v>0.4</v>
      </c>
      <c r="Q144" s="83">
        <v>3.9</v>
      </c>
      <c r="R144" s="79">
        <v>4.3</v>
      </c>
      <c r="S144" s="81">
        <v>1</v>
      </c>
      <c r="T144" s="83">
        <v>3.1</v>
      </c>
      <c r="U144" s="79">
        <v>4.0999999999999996</v>
      </c>
      <c r="V144" s="80">
        <v>1.5</v>
      </c>
      <c r="W144" s="83">
        <v>2.8</v>
      </c>
      <c r="X144" s="79">
        <v>4.3</v>
      </c>
      <c r="Y144" s="82" t="str">
        <f>IF(OR(INDEX([1]Relação_Calibrações_Localização!$F$8:$F$259,MATCH(B144,[1]Relação_Calibrações_Localização!$B$8:$B$259,0))="PERDIDO",INDEX([1]Relação_Calibrações_Localização!F240:F490,MATCH(B144,[1]Relação_Calibrações_Localização!$B$8:$B$259,0))="NÃO LOCALIZADO"),"PERDIDO",
IF(OR(Q144="",T144="",W144=""),"INDETERMINADO",IF(MAX(R144,U144,X144)&lt;=5,"APROVADO","REPROVADO")))</f>
        <v>APROVADO</v>
      </c>
    </row>
    <row r="145" spans="1:25" x14ac:dyDescent="0.25">
      <c r="A145" s="72">
        <v>37343061</v>
      </c>
      <c r="B145" s="73" t="s">
        <v>173</v>
      </c>
      <c r="C145" s="74">
        <v>45855</v>
      </c>
      <c r="D145" s="75">
        <v>46220</v>
      </c>
      <c r="E145" s="48">
        <v>605500</v>
      </c>
      <c r="F145" s="76">
        <v>0.2</v>
      </c>
      <c r="G145" s="83">
        <v>0.19</v>
      </c>
      <c r="H145" s="78">
        <v>0.39</v>
      </c>
      <c r="I145" s="83">
        <v>0.09</v>
      </c>
      <c r="J145" s="78">
        <v>0.29000000000000004</v>
      </c>
      <c r="K145" s="83">
        <v>-0.01</v>
      </c>
      <c r="L145" s="78">
        <v>0.21000000000000002</v>
      </c>
      <c r="M145" s="83">
        <v>-0.11</v>
      </c>
      <c r="N145" s="79">
        <v>0.31</v>
      </c>
      <c r="O145" s="53" t="str">
        <f>IF(OR(INDEX([1]Relação_Calibrações_Localização!$F$8:$F$259,MATCH(B145,[1]Relação_Calibrações_Localização!$B$8:$B$259,0))="PERDIDO",INDEX([1]Relação_Calibrações_Localização!F241:F491,MATCH(B145,[1]Relação_Calibrações_Localização!$B$8:$B$259,0))="NÃO LOCALIZADO"),"PERDIDO",
IF(OR(G145="",I145="",K145="",M145=""),"INDETERMINADO",IF(MAX(H145,J145,L145,N145)&lt;=0.5,"APROVADO","REPROVADO")))</f>
        <v>APROVADO</v>
      </c>
      <c r="P145" s="80">
        <v>0.4</v>
      </c>
      <c r="Q145" s="83">
        <v>3.6</v>
      </c>
      <c r="R145" s="79">
        <v>4</v>
      </c>
      <c r="S145" s="81">
        <v>1</v>
      </c>
      <c r="T145" s="83">
        <v>3.1</v>
      </c>
      <c r="U145" s="79">
        <v>4.0999999999999996</v>
      </c>
      <c r="V145" s="80">
        <v>1.5</v>
      </c>
      <c r="W145" s="83">
        <v>1.4</v>
      </c>
      <c r="X145" s="79">
        <v>2.9</v>
      </c>
      <c r="Y145" s="82" t="str">
        <f>IF(OR(INDEX([1]Relação_Calibrações_Localização!$F$8:$F$259,MATCH(B145,[1]Relação_Calibrações_Localização!$B$8:$B$259,0))="PERDIDO",INDEX([1]Relação_Calibrações_Localização!F241:F491,MATCH(B145,[1]Relação_Calibrações_Localização!$B$8:$B$259,0))="NÃO LOCALIZADO"),"PERDIDO",
IF(OR(Q145="",T145="",W145=""),"INDETERMINADO",IF(MAX(R145,U145,X145)&lt;=5,"APROVADO","REPROVADO")))</f>
        <v>APROVADO</v>
      </c>
    </row>
    <row r="146" spans="1:25" x14ac:dyDescent="0.25">
      <c r="A146" s="72">
        <v>37343071</v>
      </c>
      <c r="B146" s="73" t="s">
        <v>174</v>
      </c>
      <c r="C146" s="74">
        <v>45855</v>
      </c>
      <c r="D146" s="75">
        <v>46220</v>
      </c>
      <c r="E146" s="48">
        <v>605555</v>
      </c>
      <c r="F146" s="76">
        <v>0.2</v>
      </c>
      <c r="G146" s="83">
        <v>-0.11</v>
      </c>
      <c r="H146" s="78">
        <v>0.31</v>
      </c>
      <c r="I146" s="83">
        <v>-0.11</v>
      </c>
      <c r="J146" s="78">
        <v>0.31</v>
      </c>
      <c r="K146" s="83">
        <v>-0.01</v>
      </c>
      <c r="L146" s="78">
        <v>0.21000000000000002</v>
      </c>
      <c r="M146" s="83">
        <v>0.09</v>
      </c>
      <c r="N146" s="79">
        <v>0.29000000000000004</v>
      </c>
      <c r="O146" s="53" t="str">
        <f>IF(OR(INDEX([1]Relação_Calibrações_Localização!$F$8:$F$259,MATCH(B146,[1]Relação_Calibrações_Localização!$B$8:$B$259,0))="PERDIDO",INDEX([1]Relação_Calibrações_Localização!F242:F492,MATCH(B146,[1]Relação_Calibrações_Localização!$B$8:$B$259,0))="NÃO LOCALIZADO"),"PERDIDO",
IF(OR(G146="",I146="",K146="",M146=""),"INDETERMINADO",IF(MAX(H146,J146,L146,N146)&lt;=0.5,"APROVADO","REPROVADO")))</f>
        <v>APROVADO</v>
      </c>
      <c r="P146" s="80">
        <v>0.4</v>
      </c>
      <c r="Q146" s="83">
        <v>3.1</v>
      </c>
      <c r="R146" s="79">
        <v>3.5</v>
      </c>
      <c r="S146" s="81">
        <v>1</v>
      </c>
      <c r="T146" s="83">
        <v>3.1</v>
      </c>
      <c r="U146" s="79">
        <v>4.0999999999999996</v>
      </c>
      <c r="V146" s="80">
        <v>1.5</v>
      </c>
      <c r="W146" s="83">
        <v>2.4</v>
      </c>
      <c r="X146" s="79">
        <v>3.9</v>
      </c>
      <c r="Y146" s="82" t="str">
        <f>IF(OR(INDEX([1]Relação_Calibrações_Localização!$F$8:$F$259,MATCH(B146,[1]Relação_Calibrações_Localização!$B$8:$B$259,0))="PERDIDO",INDEX([1]Relação_Calibrações_Localização!F242:F492,MATCH(B146,[1]Relação_Calibrações_Localização!$B$8:$B$259,0))="NÃO LOCALIZADO"),"PERDIDO",
IF(OR(Q146="",T146="",W146=""),"INDETERMINADO",IF(MAX(R146,U146,X146)&lt;=5,"APROVADO","REPROVADO")))</f>
        <v>APROVADO</v>
      </c>
    </row>
    <row r="147" spans="1:25" x14ac:dyDescent="0.25">
      <c r="A147" s="72">
        <v>37343086</v>
      </c>
      <c r="B147" s="73" t="s">
        <v>175</v>
      </c>
      <c r="C147" s="74">
        <v>45855</v>
      </c>
      <c r="D147" s="75">
        <v>46220</v>
      </c>
      <c r="E147" s="48">
        <v>605483</v>
      </c>
      <c r="F147" s="76">
        <v>0.2</v>
      </c>
      <c r="G147" s="83">
        <v>-0.01</v>
      </c>
      <c r="H147" s="78">
        <v>0.21000000000000002</v>
      </c>
      <c r="I147" s="83">
        <v>-0.11</v>
      </c>
      <c r="J147" s="78">
        <v>0.31</v>
      </c>
      <c r="K147" s="83">
        <v>-0.11</v>
      </c>
      <c r="L147" s="78">
        <v>0.31</v>
      </c>
      <c r="M147" s="83">
        <v>-0.21</v>
      </c>
      <c r="N147" s="79">
        <v>0.41000000000000003</v>
      </c>
      <c r="O147" s="53" t="str">
        <f>IF(OR(INDEX([1]Relação_Calibrações_Localização!$F$8:$F$259,MATCH(B147,[1]Relação_Calibrações_Localização!$B$8:$B$259,0))="PERDIDO",INDEX([1]Relação_Calibrações_Localização!F243:F493,MATCH(B147,[1]Relação_Calibrações_Localização!$B$8:$B$259,0))="NÃO LOCALIZADO"),"PERDIDO",
IF(OR(G147="",I147="",K147="",M147=""),"INDETERMINADO",IF(MAX(H147,J147,L147,N147)&lt;=0.5,"APROVADO","REPROVADO")))</f>
        <v>APROVADO</v>
      </c>
      <c r="P147" s="80">
        <v>0.4</v>
      </c>
      <c r="Q147" s="83">
        <v>3.4</v>
      </c>
      <c r="R147" s="79">
        <v>3.8</v>
      </c>
      <c r="S147" s="81">
        <v>1</v>
      </c>
      <c r="T147" s="83">
        <v>3</v>
      </c>
      <c r="U147" s="79">
        <v>4</v>
      </c>
      <c r="V147" s="80">
        <v>1.5</v>
      </c>
      <c r="W147" s="83">
        <v>0.3</v>
      </c>
      <c r="X147" s="79">
        <v>1.8</v>
      </c>
      <c r="Y147" s="82" t="str">
        <f>IF(OR(INDEX([1]Relação_Calibrações_Localização!$F$8:$F$259,MATCH(B147,[1]Relação_Calibrações_Localização!$B$8:$B$259,0))="PERDIDO",INDEX([1]Relação_Calibrações_Localização!F243:F493,MATCH(B147,[1]Relação_Calibrações_Localização!$B$8:$B$259,0))="NÃO LOCALIZADO"),"PERDIDO",
IF(OR(Q147="",T147="",W147=""),"INDETERMINADO",IF(MAX(R147,U147,X147)&lt;=5,"APROVADO","REPROVADO")))</f>
        <v>APROVADO</v>
      </c>
    </row>
    <row r="148" spans="1:25" x14ac:dyDescent="0.25">
      <c r="A148" s="72">
        <v>37343090</v>
      </c>
      <c r="B148" s="73" t="s">
        <v>176</v>
      </c>
      <c r="C148" s="74">
        <v>45855</v>
      </c>
      <c r="D148" s="75">
        <v>46220</v>
      </c>
      <c r="E148" s="48">
        <v>605540</v>
      </c>
      <c r="F148" s="76">
        <v>0.2</v>
      </c>
      <c r="G148" s="83">
        <v>0.19</v>
      </c>
      <c r="H148" s="78">
        <v>0.39</v>
      </c>
      <c r="I148" s="83">
        <v>0.09</v>
      </c>
      <c r="J148" s="78">
        <v>0.29000000000000004</v>
      </c>
      <c r="K148" s="83">
        <v>0.09</v>
      </c>
      <c r="L148" s="78">
        <v>0.29000000000000004</v>
      </c>
      <c r="M148" s="83">
        <v>-0.01</v>
      </c>
      <c r="N148" s="79">
        <v>0.21000000000000002</v>
      </c>
      <c r="O148" s="53" t="str">
        <f>IF(OR(INDEX([1]Relação_Calibrações_Localização!$F$8:$F$259,MATCH(B148,[1]Relação_Calibrações_Localização!$B$8:$B$259,0))="PERDIDO",INDEX([1]Relação_Calibrações_Localização!F244:F494,MATCH(B148,[1]Relação_Calibrações_Localização!$B$8:$B$259,0))="NÃO LOCALIZADO"),"PERDIDO",
IF(OR(G148="",I148="",K148="",M148=""),"INDETERMINADO",IF(MAX(H148,J148,L148,N148)&lt;=0.5,"APROVADO","REPROVADO")))</f>
        <v>APROVADO</v>
      </c>
      <c r="P148" s="80">
        <v>0.4</v>
      </c>
      <c r="Q148" s="83">
        <v>3.1</v>
      </c>
      <c r="R148" s="79">
        <v>3.5</v>
      </c>
      <c r="S148" s="81">
        <v>1</v>
      </c>
      <c r="T148" s="83">
        <v>0.4</v>
      </c>
      <c r="U148" s="79">
        <v>1.4</v>
      </c>
      <c r="V148" s="80">
        <v>1.5</v>
      </c>
      <c r="W148" s="83">
        <v>-0.6</v>
      </c>
      <c r="X148" s="79">
        <v>2.1</v>
      </c>
      <c r="Y148" s="82" t="str">
        <f>IF(OR(INDEX([1]Relação_Calibrações_Localização!$F$8:$F$259,MATCH(B148,[1]Relação_Calibrações_Localização!$B$8:$B$259,0))="PERDIDO",INDEX([1]Relação_Calibrações_Localização!F244:F494,MATCH(B148,[1]Relação_Calibrações_Localização!$B$8:$B$259,0))="NÃO LOCALIZADO"),"PERDIDO",
IF(OR(Q148="",T148="",W148=""),"INDETERMINADO",IF(MAX(R148,U148,X148)&lt;=5,"APROVADO","REPROVADO")))</f>
        <v>APROVADO</v>
      </c>
    </row>
    <row r="149" spans="1:25" x14ac:dyDescent="0.25">
      <c r="A149" s="72">
        <v>37343103</v>
      </c>
      <c r="B149" s="73" t="s">
        <v>177</v>
      </c>
      <c r="C149" s="74">
        <v>45855</v>
      </c>
      <c r="D149" s="75">
        <v>46220</v>
      </c>
      <c r="E149" s="48">
        <v>605543</v>
      </c>
      <c r="F149" s="76">
        <v>0.2</v>
      </c>
      <c r="G149" s="83">
        <v>-0.01</v>
      </c>
      <c r="H149" s="78">
        <v>0.21000000000000002</v>
      </c>
      <c r="I149" s="83">
        <v>-0.11</v>
      </c>
      <c r="J149" s="78">
        <v>0.31</v>
      </c>
      <c r="K149" s="83">
        <v>-0.21</v>
      </c>
      <c r="L149" s="78">
        <v>0.41000000000000003</v>
      </c>
      <c r="M149" s="83">
        <v>-0.21</v>
      </c>
      <c r="N149" s="79">
        <v>0.41000000000000003</v>
      </c>
      <c r="O149" s="53" t="s">
        <v>47</v>
      </c>
      <c r="P149" s="80">
        <v>0.4</v>
      </c>
      <c r="Q149" s="83">
        <v>3.5</v>
      </c>
      <c r="R149" s="79">
        <v>3.9</v>
      </c>
      <c r="S149" s="81">
        <v>1</v>
      </c>
      <c r="T149" s="83">
        <v>2.2000000000000002</v>
      </c>
      <c r="U149" s="79">
        <v>3.2</v>
      </c>
      <c r="V149" s="80">
        <v>1.5</v>
      </c>
      <c r="W149" s="83">
        <v>2</v>
      </c>
      <c r="X149" s="79">
        <v>3.5</v>
      </c>
      <c r="Y149" s="82" t="str">
        <f>IF(OR(INDEX([1]Relação_Calibrações_Localização!$F$8:$F$259,MATCH(B149,[1]Relação_Calibrações_Localização!$B$8:$B$259,0))="PERDIDO",INDEX([1]Relação_Calibrações_Localização!F249:F499,MATCH(B149,[1]Relação_Calibrações_Localização!$B$8:$B$259,0))="NÃO LOCALIZADO"),"PERDIDO",
IF(OR(Q149="",T149="",W149=""),"INDETERMINADO",IF(MAX(R149,U149,X149)&lt;=5,"APROVADO","REPROVADO")))</f>
        <v>APROVADO</v>
      </c>
    </row>
    <row r="150" spans="1:25" x14ac:dyDescent="0.25">
      <c r="A150" s="72">
        <v>37343107</v>
      </c>
      <c r="B150" s="73" t="s">
        <v>178</v>
      </c>
      <c r="C150" s="74">
        <v>45855</v>
      </c>
      <c r="D150" s="75">
        <v>46220</v>
      </c>
      <c r="E150" s="48">
        <v>605548</v>
      </c>
      <c r="F150" s="76">
        <v>0.2</v>
      </c>
      <c r="G150" s="83">
        <v>-0.11</v>
      </c>
      <c r="H150" s="78">
        <v>0.31</v>
      </c>
      <c r="I150" s="83">
        <v>-0.11</v>
      </c>
      <c r="J150" s="78">
        <v>0.31</v>
      </c>
      <c r="K150" s="83">
        <v>-0.01</v>
      </c>
      <c r="L150" s="78">
        <v>0.21000000000000002</v>
      </c>
      <c r="M150" s="83">
        <v>0.19</v>
      </c>
      <c r="N150" s="79">
        <v>0.39</v>
      </c>
      <c r="O150" s="53" t="str">
        <f>IF(OR(INDEX([1]Relação_Calibrações_Localização!$F$8:$F$259,MATCH(B150,[1]Relação_Calibrações_Localização!$B$8:$B$259,0))="PERDIDO",INDEX([1]Relação_Calibrações_Localização!F252:F502,MATCH(B150,[1]Relação_Calibrações_Localização!$B$8:$B$259,0))="NÃO LOCALIZADO"),"PERDIDO",
IF(OR(G150="",I150="",K150="",M150=""),"INDETERMINADO",IF(MAX(H150,J150,L150,N150)&lt;=0.5,"APROVADO","REPROVADO")))</f>
        <v>APROVADO</v>
      </c>
      <c r="P150" s="80">
        <v>0.4</v>
      </c>
      <c r="Q150" s="83">
        <v>2.2000000000000002</v>
      </c>
      <c r="R150" s="79">
        <v>2.6</v>
      </c>
      <c r="S150" s="81">
        <v>1</v>
      </c>
      <c r="T150" s="83">
        <v>0</v>
      </c>
      <c r="U150" s="79">
        <v>1</v>
      </c>
      <c r="V150" s="80">
        <v>1.5</v>
      </c>
      <c r="W150" s="83">
        <v>2</v>
      </c>
      <c r="X150" s="79">
        <v>3.5</v>
      </c>
      <c r="Y150" s="82" t="str">
        <f>IF(OR(INDEX([1]Relação_Calibrações_Localização!$F$8:$F$259,MATCH(B150,[1]Relação_Calibrações_Localização!$B$8:$B$259,0))="PERDIDO",INDEX([1]Relação_Calibrações_Localização!F252:F502,MATCH(B150,[1]Relação_Calibrações_Localização!$B$8:$B$259,0))="NÃO LOCALIZADO"),"PERDIDO",
IF(OR(Q150="",T150="",W150=""),"INDETERMINADO",IF(MAX(R150,U150,X150)&lt;=5,"APROVADO","REPROVADO")))</f>
        <v>APROVADO</v>
      </c>
    </row>
    <row r="151" spans="1:25" x14ac:dyDescent="0.25">
      <c r="A151" s="72">
        <v>37343120</v>
      </c>
      <c r="B151" s="73" t="s">
        <v>179</v>
      </c>
      <c r="C151" s="74">
        <v>45855</v>
      </c>
      <c r="D151" s="75">
        <v>46220</v>
      </c>
      <c r="E151" s="48">
        <v>605476</v>
      </c>
      <c r="F151" s="76">
        <v>0.2</v>
      </c>
      <c r="G151" s="83">
        <v>-0.21</v>
      </c>
      <c r="H151" s="78">
        <v>0.41000000000000003</v>
      </c>
      <c r="I151" s="83">
        <v>-0.21</v>
      </c>
      <c r="J151" s="78">
        <v>0.41000000000000003</v>
      </c>
      <c r="K151" s="83">
        <v>-0.01</v>
      </c>
      <c r="L151" s="78">
        <v>0.21000000000000002</v>
      </c>
      <c r="M151" s="83">
        <v>0.09</v>
      </c>
      <c r="N151" s="79">
        <v>0.29000000000000004</v>
      </c>
      <c r="O151" s="53" t="str">
        <f>IF(OR(INDEX([1]Relação_Calibrações_Localização!$F$8:$F$259,MATCH(B151,[1]Relação_Calibrações_Localização!$B$8:$B$259,0))="PERDIDO",INDEX([1]Relação_Calibrações_Localização!F258:F508,MATCH(B151,[1]Relação_Calibrações_Localização!$B$8:$B$259,0))="NÃO LOCALIZADO"),"PERDIDO",
IF(OR(G151="",I151="",K151="",M151=""),"INDETERMINADO",IF(MAX(H151,J151,L151,N151)&lt;=0.5,"APROVADO","REPROVADO")))</f>
        <v>APROVADO</v>
      </c>
      <c r="P151" s="80">
        <v>0.4</v>
      </c>
      <c r="Q151" s="83">
        <v>3.4</v>
      </c>
      <c r="R151" s="79">
        <v>3.8</v>
      </c>
      <c r="S151" s="81">
        <v>1</v>
      </c>
      <c r="T151" s="83">
        <v>2.7</v>
      </c>
      <c r="U151" s="79">
        <v>3.7</v>
      </c>
      <c r="V151" s="80">
        <v>1.5</v>
      </c>
      <c r="W151" s="83">
        <v>1.2</v>
      </c>
      <c r="X151" s="79">
        <v>2.7</v>
      </c>
      <c r="Y151" s="82" t="str">
        <f>IF(OR(INDEX([1]Relação_Calibrações_Localização!$F$8:$F$259,MATCH(B151,[1]Relação_Calibrações_Localização!$B$8:$B$259,0))="PERDIDO",INDEX([1]Relação_Calibrações_Localização!F258:F508,MATCH(B151,[1]Relação_Calibrações_Localização!$B$8:$B$259,0))="NÃO LOCALIZADO"),"PERDIDO",
IF(OR(Q151="",T151="",W151=""),"INDETERMINADO",IF(MAX(R151,U151,X151)&lt;=5,"APROVADO","REPROVADO")))</f>
        <v>APROVADO</v>
      </c>
    </row>
    <row r="152" spans="1:25" x14ac:dyDescent="0.25">
      <c r="A152" s="72">
        <v>37323268</v>
      </c>
      <c r="B152" s="73" t="s">
        <v>180</v>
      </c>
      <c r="C152" s="74">
        <v>44984</v>
      </c>
      <c r="D152" s="75">
        <v>45349</v>
      </c>
      <c r="E152" s="48">
        <v>370217</v>
      </c>
      <c r="F152" s="76">
        <v>0.15</v>
      </c>
      <c r="G152" s="83">
        <v>0</v>
      </c>
      <c r="H152" s="78">
        <v>0.15</v>
      </c>
      <c r="I152" s="83">
        <v>0.1</v>
      </c>
      <c r="J152" s="78">
        <v>0.25</v>
      </c>
      <c r="K152" s="83">
        <v>0.1</v>
      </c>
      <c r="L152" s="78">
        <v>0.25</v>
      </c>
      <c r="M152" s="83">
        <v>0.1</v>
      </c>
      <c r="N152" s="79">
        <v>0.25</v>
      </c>
      <c r="O152" s="53" t="str">
        <f>IF(OR(INDEX([1]Relação_Calibrações_Localização!$F$8:$F$259,MATCH(B152,[1]Relação_Calibrações_Localização!$B$8:$B$259,0))="PERDIDO",INDEX([1]Relação_Calibrações_Localização!F8:F259,MATCH(B152,[1]Relação_Calibrações_Localização!$B$8:$B$259,0))="NÃO LOCALIZADO"),"PERDIDO",
IF(OR(G152="",I152="",K152="",M152=""),"INDETERMINADO",IF(MAX(H152,J152,L152,N152)&lt;=0.5,"APROVADO","REPROVADO")))</f>
        <v>APROVADO</v>
      </c>
      <c r="P152" s="80">
        <v>2.6</v>
      </c>
      <c r="Q152" s="83">
        <v>0.4</v>
      </c>
      <c r="R152" s="79">
        <v>3</v>
      </c>
      <c r="S152" s="81">
        <v>2.1</v>
      </c>
      <c r="T152" s="83">
        <v>1</v>
      </c>
      <c r="U152" s="79">
        <v>3.1</v>
      </c>
      <c r="V152" s="80">
        <v>-2.4</v>
      </c>
      <c r="W152" s="83">
        <v>1.5</v>
      </c>
      <c r="X152" s="79">
        <v>3.9</v>
      </c>
      <c r="Y152" s="82" t="str">
        <f>IF(OR(INDEX([1]Relação_Calibrações_Localização!$F$8:$F$259,MATCH(B152,[1]Relação_Calibrações_Localização!$B$8:$B$259,0))="PERDIDO",INDEX([1]Relação_Calibrações_Localização!F8:F259,MATCH(B152,[1]Relação_Calibrações_Localização!$B$8:$B$259,0))="NÃO LOCALIZADO"),"PERDIDO",
IF(OR(Q152="",T152="",W152=""),"INDETERMINADO",IF(MAX(R152,U152,X152)&lt;=5,"APROVADO","REPROVADO")))</f>
        <v>APROVADO</v>
      </c>
    </row>
    <row r="153" spans="1:25" x14ac:dyDescent="0.25">
      <c r="A153" s="72">
        <v>37326189</v>
      </c>
      <c r="B153" s="73" t="s">
        <v>181</v>
      </c>
      <c r="C153" s="74">
        <v>45523</v>
      </c>
      <c r="D153" s="75">
        <v>45888</v>
      </c>
      <c r="E153" s="48">
        <v>454941</v>
      </c>
      <c r="F153" s="76">
        <v>0.2</v>
      </c>
      <c r="G153" s="83">
        <v>-0.01</v>
      </c>
      <c r="H153" s="78">
        <v>0.21000000000000002</v>
      </c>
      <c r="I153" s="83">
        <v>-0.01</v>
      </c>
      <c r="J153" s="78">
        <v>0.21000000000000002</v>
      </c>
      <c r="K153" s="83">
        <v>-0.01</v>
      </c>
      <c r="L153" s="78">
        <v>0.21000000000000002</v>
      </c>
      <c r="M153" s="83">
        <v>-0.01</v>
      </c>
      <c r="N153" s="79">
        <v>0.21000000000000002</v>
      </c>
      <c r="O153" s="53" t="str">
        <f>IF(OR(INDEX([1]Relação_Calibrações_Localização!$F$8:$F$259,MATCH(B153,[1]Relação_Calibrações_Localização!$B$8:$B$259,0))="PERDIDO",INDEX([1]Relação_Calibrações_Localização!F12:F262,MATCH(B153,[1]Relação_Calibrações_Localização!$B$8:$B$259,0))="NÃO LOCALIZADO"),"PERDIDO",
IF(OR(G153="",I153="",K153="",M153=""),"INDETERMINADO",IF(MAX(H153,J153,L153,N153)&lt;=0.5,"APROVADO","REPROVADO")))</f>
        <v>APROVADO</v>
      </c>
      <c r="P153" s="80">
        <v>0.4</v>
      </c>
      <c r="Q153" s="83">
        <v>3.5</v>
      </c>
      <c r="R153" s="79">
        <v>3.9</v>
      </c>
      <c r="S153" s="81">
        <v>1</v>
      </c>
      <c r="T153" s="83">
        <v>1.3</v>
      </c>
      <c r="U153" s="79">
        <v>2.2999999999999998</v>
      </c>
      <c r="V153" s="80">
        <v>1.5</v>
      </c>
      <c r="W153" s="83">
        <v>-3.2</v>
      </c>
      <c r="X153" s="79">
        <v>4.7</v>
      </c>
      <c r="Y153" s="82" t="str">
        <f>IF(OR(INDEX([1]Relação_Calibrações_Localização!$F$8:$F$259,MATCH(B153,[1]Relação_Calibrações_Localização!$B$8:$B$259,0))="PERDIDO",INDEX([1]Relação_Calibrações_Localização!F12:F262,MATCH(B153,[1]Relação_Calibrações_Localização!$B$8:$B$259,0))="NÃO LOCALIZADO"),"PERDIDO",
IF(OR(Q153="",T153="",W153=""),"INDETERMINADO",IF(MAX(R153,U153,X153)&lt;=5,"APROVADO","REPROVADO")))</f>
        <v>APROVADO</v>
      </c>
    </row>
    <row r="154" spans="1:25" x14ac:dyDescent="0.25">
      <c r="A154" s="72">
        <v>37332015</v>
      </c>
      <c r="B154" s="73" t="s">
        <v>182</v>
      </c>
      <c r="C154" s="74">
        <v>45523</v>
      </c>
      <c r="D154" s="75">
        <v>45888</v>
      </c>
      <c r="E154" s="48">
        <v>454927</v>
      </c>
      <c r="F154" s="76">
        <v>0.2</v>
      </c>
      <c r="G154" s="83">
        <v>-0.01</v>
      </c>
      <c r="H154" s="78">
        <v>0.21000000000000002</v>
      </c>
      <c r="I154" s="83">
        <v>0.09</v>
      </c>
      <c r="J154" s="78">
        <v>0.29000000000000004</v>
      </c>
      <c r="K154" s="83">
        <v>0.09</v>
      </c>
      <c r="L154" s="78">
        <v>0.29000000000000004</v>
      </c>
      <c r="M154" s="83">
        <v>0.19</v>
      </c>
      <c r="N154" s="79">
        <v>0.39</v>
      </c>
      <c r="O154" s="53" t="str">
        <f>IF(OR(INDEX([1]Relação_Calibrações_Localização!$F$8:$F$259,MATCH(B154,[1]Relação_Calibrações_Localização!$B$8:$B$259,0))="PERDIDO",INDEX([1]Relação_Calibrações_Localização!F16:F266,MATCH(B154,[1]Relação_Calibrações_Localização!$B$8:$B$259,0))="NÃO LOCALIZADO"),"PERDIDO",
IF(OR(G154="",I154="",K154="",M154=""),"INDETERMINADO",IF(MAX(H154,J154,L154,N154)&lt;=0.5,"APROVADO","REPROVADO")))</f>
        <v>APROVADO</v>
      </c>
      <c r="P154" s="80">
        <v>0.4</v>
      </c>
      <c r="Q154" s="83">
        <v>3.5</v>
      </c>
      <c r="R154" s="79">
        <v>3.9</v>
      </c>
      <c r="S154" s="81">
        <v>1</v>
      </c>
      <c r="T154" s="83">
        <v>0.7</v>
      </c>
      <c r="U154" s="79">
        <v>1.7</v>
      </c>
      <c r="V154" s="80">
        <v>1.5</v>
      </c>
      <c r="W154" s="83">
        <v>-3.5</v>
      </c>
      <c r="X154" s="79">
        <v>5</v>
      </c>
      <c r="Y154" s="82" t="str">
        <f>IF(OR(INDEX([1]Relação_Calibrações_Localização!$F$8:$F$259,MATCH(B154,[1]Relação_Calibrações_Localização!$B$8:$B$259,0))="PERDIDO",INDEX([1]Relação_Calibrações_Localização!F16:F266,MATCH(B154,[1]Relação_Calibrações_Localização!$B$8:$B$259,0))="NÃO LOCALIZADO"),"PERDIDO",
IF(OR(Q154="",T154="",W154=""),"INDETERMINADO",IF(MAX(R154,U154,X154)&lt;=5,"APROVADO","REPROVADO")))</f>
        <v>APROVADO</v>
      </c>
    </row>
    <row r="155" spans="1:25" x14ac:dyDescent="0.25">
      <c r="A155" s="72">
        <v>37332201</v>
      </c>
      <c r="B155" s="73" t="s">
        <v>183</v>
      </c>
      <c r="C155" s="74">
        <v>45523</v>
      </c>
      <c r="D155" s="75">
        <v>45888</v>
      </c>
      <c r="E155" s="48">
        <v>454913</v>
      </c>
      <c r="F155" s="76">
        <v>0.2</v>
      </c>
      <c r="G155" s="83">
        <v>-0.01</v>
      </c>
      <c r="H155" s="78">
        <v>0.21000000000000002</v>
      </c>
      <c r="I155" s="83">
        <v>-0.01</v>
      </c>
      <c r="J155" s="78">
        <v>0.21000000000000002</v>
      </c>
      <c r="K155" s="83">
        <v>-0.01</v>
      </c>
      <c r="L155" s="78">
        <v>0.21000000000000002</v>
      </c>
      <c r="M155" s="83">
        <v>0.09</v>
      </c>
      <c r="N155" s="79">
        <v>0.29000000000000004</v>
      </c>
      <c r="O155" s="53" t="str">
        <f>IF(OR(INDEX([1]Relação_Calibrações_Localização!$F$8:$F$259,MATCH(B155,[1]Relação_Calibrações_Localização!$B$8:$B$259,0))="PERDIDO",INDEX([1]Relação_Calibrações_Localização!F17:F267,MATCH(B155,[1]Relação_Calibrações_Localização!$B$8:$B$259,0))="NÃO LOCALIZADO"),"PERDIDO",
IF(OR(G155="",I155="",K155="",M155=""),"INDETERMINADO",IF(MAX(H155,J155,L155,N155)&lt;=0.5,"APROVADO","REPROVADO")))</f>
        <v>APROVADO</v>
      </c>
      <c r="P155" s="80">
        <v>0.4</v>
      </c>
      <c r="Q155" s="83">
        <v>3.4</v>
      </c>
      <c r="R155" s="79">
        <v>3.8</v>
      </c>
      <c r="S155" s="81">
        <v>1</v>
      </c>
      <c r="T155" s="83">
        <v>1.2</v>
      </c>
      <c r="U155" s="79">
        <v>2.2000000000000002</v>
      </c>
      <c r="V155" s="80">
        <v>1.5</v>
      </c>
      <c r="W155" s="83">
        <v>-3.3</v>
      </c>
      <c r="X155" s="79">
        <v>4.8</v>
      </c>
      <c r="Y155" s="82" t="str">
        <f>IF(OR(INDEX([1]Relação_Calibrações_Localização!$F$8:$F$259,MATCH(B155,[1]Relação_Calibrações_Localização!$B$8:$B$259,0))="PERDIDO",INDEX([1]Relação_Calibrações_Localização!F17:F267,MATCH(B155,[1]Relação_Calibrações_Localização!$B$8:$B$259,0))="NÃO LOCALIZADO"),"PERDIDO",
IF(OR(Q155="",T155="",W155=""),"INDETERMINADO",IF(MAX(R155,U155,X155)&lt;=5,"APROVADO","REPROVADO")))</f>
        <v>APROVADO</v>
      </c>
    </row>
    <row r="156" spans="1:25" x14ac:dyDescent="0.25">
      <c r="A156" s="72">
        <v>37332215</v>
      </c>
      <c r="B156" s="73" t="s">
        <v>184</v>
      </c>
      <c r="C156" s="74">
        <v>45523</v>
      </c>
      <c r="D156" s="75">
        <v>45888</v>
      </c>
      <c r="E156" s="48">
        <v>454911</v>
      </c>
      <c r="F156" s="76">
        <v>0.2</v>
      </c>
      <c r="G156" s="83">
        <v>0.09</v>
      </c>
      <c r="H156" s="78">
        <v>0.29000000000000004</v>
      </c>
      <c r="I156" s="83">
        <v>0.09</v>
      </c>
      <c r="J156" s="78">
        <v>0.29000000000000004</v>
      </c>
      <c r="K156" s="83">
        <v>0.09</v>
      </c>
      <c r="L156" s="78">
        <v>0.29000000000000004</v>
      </c>
      <c r="M156" s="83">
        <v>0.09</v>
      </c>
      <c r="N156" s="79">
        <v>0.29000000000000004</v>
      </c>
      <c r="O156" s="53" t="str">
        <f>IF(OR(INDEX([1]Relação_Calibrações_Localização!$F$8:$F$259,MATCH(B156,[1]Relação_Calibrações_Localização!$B$8:$B$259,0))="PERDIDO",INDEX([1]Relação_Calibrações_Localização!F20:F270,MATCH(B156,[1]Relação_Calibrações_Localização!$B$8:$B$259,0))="NÃO LOCALIZADO"),"PERDIDO",
IF(OR(G156="",I156="",K156="",M156=""),"INDETERMINADO",IF(MAX(H156,J156,L156,N156)&lt;=0.5,"APROVADO","REPROVADO")))</f>
        <v>APROVADO</v>
      </c>
      <c r="P156" s="80">
        <v>0.4</v>
      </c>
      <c r="Q156" s="83">
        <v>3.4</v>
      </c>
      <c r="R156" s="79">
        <v>3.8</v>
      </c>
      <c r="S156" s="81">
        <v>1</v>
      </c>
      <c r="T156" s="83">
        <v>1.3</v>
      </c>
      <c r="U156" s="79">
        <v>2.2999999999999998</v>
      </c>
      <c r="V156" s="80">
        <v>1.5</v>
      </c>
      <c r="W156" s="83">
        <v>-3.3</v>
      </c>
      <c r="X156" s="79">
        <v>4.8</v>
      </c>
      <c r="Y156" s="82" t="str">
        <f>IF(OR(INDEX([1]Relação_Calibrações_Localização!$F$8:$F$259,MATCH(B156,[1]Relação_Calibrações_Localização!$B$8:$B$259,0))="PERDIDO",INDEX([1]Relação_Calibrações_Localização!F20:F270,MATCH(B156,[1]Relação_Calibrações_Localização!$B$8:$B$259,0))="NÃO LOCALIZADO"),"PERDIDO",
IF(OR(Q156="",T156="",W156=""),"INDETERMINADO",IF(MAX(R156,U156,X156)&lt;=5,"APROVADO","REPROVADO")))</f>
        <v>APROVADO</v>
      </c>
    </row>
    <row r="157" spans="1:25" x14ac:dyDescent="0.25">
      <c r="A157" s="72">
        <v>37332223</v>
      </c>
      <c r="B157" s="73" t="s">
        <v>185</v>
      </c>
      <c r="C157" s="74">
        <v>45523</v>
      </c>
      <c r="D157" s="75">
        <v>45888</v>
      </c>
      <c r="E157" s="48">
        <v>454915</v>
      </c>
      <c r="F157" s="76">
        <v>0.2</v>
      </c>
      <c r="G157" s="83">
        <v>-0.01</v>
      </c>
      <c r="H157" s="78">
        <v>0.21000000000000002</v>
      </c>
      <c r="I157" s="83">
        <v>-0.01</v>
      </c>
      <c r="J157" s="78">
        <v>0.21000000000000002</v>
      </c>
      <c r="K157" s="83">
        <v>-0.01</v>
      </c>
      <c r="L157" s="78">
        <v>0.21000000000000002</v>
      </c>
      <c r="M157" s="83">
        <v>0.09</v>
      </c>
      <c r="N157" s="79">
        <v>0.29000000000000004</v>
      </c>
      <c r="O157" s="53" t="str">
        <f>IF(OR(INDEX([1]Relação_Calibrações_Localização!$F$8:$F$259,MATCH(B157,[1]Relação_Calibrações_Localização!$B$8:$B$259,0))="PERDIDO",INDEX([1]Relação_Calibrações_Localização!F23:F273,MATCH(B157,[1]Relação_Calibrações_Localização!$B$8:$B$259,0))="NÃO LOCALIZADO"),"PERDIDO",
IF(OR(G157="",I157="",K157="",M157=""),"INDETERMINADO",IF(MAX(H157,J157,L157,N157)&lt;=0.5,"APROVADO","REPROVADO")))</f>
        <v>APROVADO</v>
      </c>
      <c r="P157" s="80">
        <v>0.4</v>
      </c>
      <c r="Q157" s="83">
        <v>3.5</v>
      </c>
      <c r="R157" s="79">
        <v>3.9</v>
      </c>
      <c r="S157" s="81">
        <v>1</v>
      </c>
      <c r="T157" s="83">
        <v>0.5</v>
      </c>
      <c r="U157" s="79">
        <v>1.5</v>
      </c>
      <c r="V157" s="80">
        <v>1.5</v>
      </c>
      <c r="W157" s="83">
        <v>-3.5</v>
      </c>
      <c r="X157" s="79">
        <v>5</v>
      </c>
      <c r="Y157" s="82" t="str">
        <f>IF(OR(INDEX([1]Relação_Calibrações_Localização!$F$8:$F$259,MATCH(B157,[1]Relação_Calibrações_Localização!$B$8:$B$259,0))="PERDIDO",INDEX([1]Relação_Calibrações_Localização!F23:F273,MATCH(B157,[1]Relação_Calibrações_Localização!$B$8:$B$259,0))="NÃO LOCALIZADO"),"PERDIDO",
IF(OR(Q157="",T157="",W157=""),"INDETERMINADO",IF(MAX(R157,U157,X157)&lt;=5,"APROVADO","REPROVADO")))</f>
        <v>APROVADO</v>
      </c>
    </row>
    <row r="158" spans="1:25" x14ac:dyDescent="0.25">
      <c r="A158" s="72">
        <v>37332228</v>
      </c>
      <c r="B158" s="73" t="s">
        <v>186</v>
      </c>
      <c r="C158" s="74">
        <v>45070</v>
      </c>
      <c r="D158" s="75">
        <v>45436</v>
      </c>
      <c r="E158" s="48">
        <v>382901</v>
      </c>
      <c r="F158" s="76">
        <v>0.2</v>
      </c>
      <c r="G158" s="83">
        <v>0.1</v>
      </c>
      <c r="H158" s="78">
        <v>0.30000000000000004</v>
      </c>
      <c r="I158" s="83">
        <v>0.1</v>
      </c>
      <c r="J158" s="78">
        <v>0.30000000000000004</v>
      </c>
      <c r="K158" s="83">
        <v>-0.1</v>
      </c>
      <c r="L158" s="78">
        <v>0.30000000000000004</v>
      </c>
      <c r="M158" s="83">
        <v>-0.2</v>
      </c>
      <c r="N158" s="79">
        <v>0.4</v>
      </c>
      <c r="O158" s="53" t="str">
        <f>IF(OR(INDEX([1]Relação_Calibrações_Localização!$F$8:$F$259,MATCH(B158,[1]Relação_Calibrações_Localização!$B$8:$B$259,0))="PERDIDO",INDEX([1]Relação_Calibrações_Localização!F26:F276,MATCH(B158,[1]Relação_Calibrações_Localização!$B$8:$B$259,0))="NÃO LOCALIZADO"),"PERDIDO",
IF(OR(G158="",I158="",K158="",M158=""),"INDETERMINADO",IF(MAX(H158,J158,L158,N158)&lt;=0.5,"APROVADO","REPROVADO")))</f>
        <v>APROVADO</v>
      </c>
      <c r="P158" s="80">
        <v>0.4</v>
      </c>
      <c r="Q158" s="83">
        <v>1.5</v>
      </c>
      <c r="R158" s="79">
        <v>1.9</v>
      </c>
      <c r="S158" s="81">
        <v>1</v>
      </c>
      <c r="T158" s="83">
        <v>1</v>
      </c>
      <c r="U158" s="79">
        <v>2</v>
      </c>
      <c r="V158" s="80">
        <v>1.4</v>
      </c>
      <c r="W158" s="83">
        <v>-0.7</v>
      </c>
      <c r="X158" s="79">
        <v>2.0999999999999996</v>
      </c>
      <c r="Y158" s="82" t="str">
        <f>IF(OR(INDEX([1]Relação_Calibrações_Localização!$F$8:$F$259,MATCH(B158,[1]Relação_Calibrações_Localização!$B$8:$B$259,0))="PERDIDO",INDEX([1]Relação_Calibrações_Localização!F26:F276,MATCH(B158,[1]Relação_Calibrações_Localização!$B$8:$B$259,0))="NÃO LOCALIZADO"),"PERDIDO",
IF(OR(Q158="",T158="",W158=""),"INDETERMINADO",IF(MAX(R158,U158,X158)&lt;=5,"APROVADO","REPROVADO")))</f>
        <v>APROVADO</v>
      </c>
    </row>
    <row r="159" spans="1:25" x14ac:dyDescent="0.25">
      <c r="A159" s="72">
        <v>37332229</v>
      </c>
      <c r="B159" s="73" t="s">
        <v>187</v>
      </c>
      <c r="C159" s="74">
        <v>45523</v>
      </c>
      <c r="D159" s="75">
        <v>45888</v>
      </c>
      <c r="E159" s="48">
        <v>454942</v>
      </c>
      <c r="F159" s="76">
        <v>0.2</v>
      </c>
      <c r="G159" s="83">
        <v>-0.01</v>
      </c>
      <c r="H159" s="78">
        <v>0.21000000000000002</v>
      </c>
      <c r="I159" s="83">
        <v>-0.01</v>
      </c>
      <c r="J159" s="78">
        <v>0.21000000000000002</v>
      </c>
      <c r="K159" s="83">
        <v>-0.01</v>
      </c>
      <c r="L159" s="78">
        <v>0.21000000000000002</v>
      </c>
      <c r="M159" s="83">
        <v>-0.01</v>
      </c>
      <c r="N159" s="79">
        <v>0.21000000000000002</v>
      </c>
      <c r="O159" s="53" t="str">
        <f>IF(OR(INDEX([1]Relação_Calibrações_Localização!$F$8:$F$259,MATCH(B159,[1]Relação_Calibrações_Localização!$B$8:$B$259,0))="PERDIDO",INDEX([1]Relação_Calibrações_Localização!F27:F277,MATCH(B159,[1]Relação_Calibrações_Localização!$B$8:$B$259,0))="NÃO LOCALIZADO"),"PERDIDO",
IF(OR(G159="",I159="",K159="",M159=""),"INDETERMINADO",IF(MAX(H159,J159,L159,N159)&lt;=0.5,"APROVADO","REPROVADO")))</f>
        <v>APROVADO</v>
      </c>
      <c r="P159" s="80">
        <v>0.4</v>
      </c>
      <c r="Q159" s="83">
        <v>3.5</v>
      </c>
      <c r="R159" s="79">
        <v>3.9</v>
      </c>
      <c r="S159" s="81">
        <v>1</v>
      </c>
      <c r="T159" s="83">
        <v>0.7</v>
      </c>
      <c r="U159" s="79">
        <v>1.7</v>
      </c>
      <c r="V159" s="80">
        <v>1.5</v>
      </c>
      <c r="W159" s="83">
        <v>-3.5</v>
      </c>
      <c r="X159" s="79">
        <v>5</v>
      </c>
      <c r="Y159" s="82" t="str">
        <f>IF(OR(INDEX([1]Relação_Calibrações_Localização!$F$8:$F$259,MATCH(B159,[1]Relação_Calibrações_Localização!$B$8:$B$259,0))="PERDIDO",INDEX([1]Relação_Calibrações_Localização!F27:F277,MATCH(B159,[1]Relação_Calibrações_Localização!$B$8:$B$259,0))="NÃO LOCALIZADO"),"PERDIDO",
IF(OR(Q159="",T159="",W159=""),"INDETERMINADO",IF(MAX(R159,U159,X159)&lt;=5,"APROVADO","REPROVADO")))</f>
        <v>APROVADO</v>
      </c>
    </row>
    <row r="160" spans="1:25" x14ac:dyDescent="0.25">
      <c r="A160" s="72">
        <v>37332239</v>
      </c>
      <c r="B160" s="73" t="s">
        <v>188</v>
      </c>
      <c r="C160" s="74">
        <v>45523</v>
      </c>
      <c r="D160" s="75">
        <v>45888</v>
      </c>
      <c r="E160" s="48">
        <v>454946</v>
      </c>
      <c r="F160" s="76">
        <v>0.2</v>
      </c>
      <c r="G160" s="83">
        <v>-0.01</v>
      </c>
      <c r="H160" s="78">
        <v>0.21000000000000002</v>
      </c>
      <c r="I160" s="83">
        <v>-0.01</v>
      </c>
      <c r="J160" s="78">
        <v>0.21000000000000002</v>
      </c>
      <c r="K160" s="83">
        <v>0.09</v>
      </c>
      <c r="L160" s="78">
        <v>0.29000000000000004</v>
      </c>
      <c r="M160" s="83">
        <v>0.09</v>
      </c>
      <c r="N160" s="79">
        <v>0.29000000000000004</v>
      </c>
      <c r="O160" s="53" t="str">
        <f>IF(OR(INDEX([1]Relação_Calibrações_Localização!$F$8:$F$259,MATCH(B160,[1]Relação_Calibrações_Localização!$B$8:$B$259,0))="PERDIDO",INDEX([1]Relação_Calibrações_Localização!F30:F280,MATCH(B160,[1]Relação_Calibrações_Localização!$B$8:$B$259,0))="NÃO LOCALIZADO"),"PERDIDO",
IF(OR(G160="",I160="",K160="",M160=""),"INDETERMINADO",IF(MAX(H160,J160,L160,N160)&lt;=0.5,"APROVADO","REPROVADO")))</f>
        <v>APROVADO</v>
      </c>
      <c r="P160" s="80">
        <v>0.4</v>
      </c>
      <c r="Q160" s="83">
        <v>3.5</v>
      </c>
      <c r="R160" s="79">
        <v>3.9</v>
      </c>
      <c r="S160" s="81">
        <v>1</v>
      </c>
      <c r="T160" s="83">
        <v>0.6</v>
      </c>
      <c r="U160" s="79">
        <v>1.6</v>
      </c>
      <c r="V160" s="80">
        <v>1.5</v>
      </c>
      <c r="W160" s="83">
        <v>-3.5</v>
      </c>
      <c r="X160" s="79">
        <v>5</v>
      </c>
      <c r="Y160" s="82" t="str">
        <f>IF(OR(INDEX([1]Relação_Calibrações_Localização!$F$8:$F$259,MATCH(B160,[1]Relação_Calibrações_Localização!$B$8:$B$259,0))="PERDIDO",INDEX([1]Relação_Calibrações_Localização!F30:F280,MATCH(B160,[1]Relação_Calibrações_Localização!$B$8:$B$259,0))="NÃO LOCALIZADO"),"PERDIDO",
IF(OR(Q160="",T160="",W160=""),"INDETERMINADO",IF(MAX(R160,U160,X160)&lt;=5,"APROVADO","REPROVADO")))</f>
        <v>APROVADO</v>
      </c>
    </row>
    <row r="161" spans="1:25" x14ac:dyDescent="0.25">
      <c r="A161" s="72">
        <v>37332241</v>
      </c>
      <c r="B161" s="73" t="s">
        <v>189</v>
      </c>
      <c r="C161" s="74">
        <v>45523</v>
      </c>
      <c r="D161" s="75">
        <v>45888</v>
      </c>
      <c r="E161" s="48">
        <v>454947</v>
      </c>
      <c r="F161" s="76">
        <v>0.2</v>
      </c>
      <c r="G161" s="83">
        <v>-0.01</v>
      </c>
      <c r="H161" s="78">
        <v>0.21000000000000002</v>
      </c>
      <c r="I161" s="83">
        <v>-0.01</v>
      </c>
      <c r="J161" s="78">
        <v>0.21000000000000002</v>
      </c>
      <c r="K161" s="83">
        <v>0.09</v>
      </c>
      <c r="L161" s="78">
        <v>0.29000000000000004</v>
      </c>
      <c r="M161" s="83">
        <v>0.09</v>
      </c>
      <c r="N161" s="79">
        <v>0.29000000000000004</v>
      </c>
      <c r="O161" s="53" t="str">
        <f>IF(OR(INDEX([1]Relação_Calibrações_Localização!$F$8:$F$259,MATCH(B161,[1]Relação_Calibrações_Localização!$B$8:$B$259,0))="PERDIDO",INDEX([1]Relação_Calibrações_Localização!F32:F282,MATCH(B161,[1]Relação_Calibrações_Localização!$B$8:$B$259,0))="NÃO LOCALIZADO"),"PERDIDO",
IF(OR(G161="",I161="",K161="",M161=""),"INDETERMINADO",IF(MAX(H161,J161,L161,N161)&lt;=0.5,"APROVADO","REPROVADO")))</f>
        <v>APROVADO</v>
      </c>
      <c r="P161" s="80">
        <v>0.4</v>
      </c>
      <c r="Q161" s="83">
        <v>3.5</v>
      </c>
      <c r="R161" s="79">
        <v>3.9</v>
      </c>
      <c r="S161" s="81">
        <v>1</v>
      </c>
      <c r="T161" s="83">
        <v>0.2</v>
      </c>
      <c r="U161" s="79">
        <v>1.2</v>
      </c>
      <c r="V161" s="80">
        <v>1.5</v>
      </c>
      <c r="W161" s="83">
        <v>-3.5</v>
      </c>
      <c r="X161" s="79">
        <v>5</v>
      </c>
      <c r="Y161" s="82" t="str">
        <f>IF(OR(INDEX([1]Relação_Calibrações_Localização!$F$8:$F$259,MATCH(B161,[1]Relação_Calibrações_Localização!$B$8:$B$259,0))="PERDIDO",INDEX([1]Relação_Calibrações_Localização!F32:F282,MATCH(B161,[1]Relação_Calibrações_Localização!$B$8:$B$259,0))="NÃO LOCALIZADO"),"PERDIDO",
IF(OR(Q161="",T161="",W161=""),"INDETERMINADO",IF(MAX(R161,U161,X161)&lt;=5,"APROVADO","REPROVADO")))</f>
        <v>APROVADO</v>
      </c>
    </row>
    <row r="162" spans="1:25" x14ac:dyDescent="0.25">
      <c r="A162" s="72">
        <v>37332271</v>
      </c>
      <c r="B162" s="73" t="s">
        <v>190</v>
      </c>
      <c r="C162" s="74">
        <v>45523</v>
      </c>
      <c r="D162" s="75">
        <v>45888</v>
      </c>
      <c r="E162" s="48">
        <v>454921</v>
      </c>
      <c r="F162" s="76">
        <v>0.2</v>
      </c>
      <c r="G162" s="83">
        <v>-0.01</v>
      </c>
      <c r="H162" s="78">
        <v>0.21000000000000002</v>
      </c>
      <c r="I162" s="83">
        <v>-0.01</v>
      </c>
      <c r="J162" s="78">
        <v>0.21000000000000002</v>
      </c>
      <c r="K162" s="83">
        <v>-0.01</v>
      </c>
      <c r="L162" s="78">
        <v>0.21000000000000002</v>
      </c>
      <c r="M162" s="83">
        <v>-0.01</v>
      </c>
      <c r="N162" s="79">
        <v>0.21000000000000002</v>
      </c>
      <c r="O162" s="53" t="str">
        <f>IF(OR(INDEX([1]Relação_Calibrações_Localização!$F$8:$F$259,MATCH(B162,[1]Relação_Calibrações_Localização!$B$8:$B$259,0))="PERDIDO",INDEX([1]Relação_Calibrações_Localização!F35:F285,MATCH(B162,[1]Relação_Calibrações_Localização!$B$8:$B$259,0))="NÃO LOCALIZADO"),"PERDIDO",
IF(OR(G162="",I162="",K162="",M162=""),"INDETERMINADO",IF(MAX(H162,J162,L162,N162)&lt;=0.5,"APROVADO","REPROVADO")))</f>
        <v>APROVADO</v>
      </c>
      <c r="P162" s="80">
        <v>0.4</v>
      </c>
      <c r="Q162" s="83">
        <v>3.5</v>
      </c>
      <c r="R162" s="79">
        <v>3.9</v>
      </c>
      <c r="S162" s="81">
        <v>1</v>
      </c>
      <c r="T162" s="83">
        <v>0.4</v>
      </c>
      <c r="U162" s="79">
        <v>1.4</v>
      </c>
      <c r="V162" s="80">
        <v>1.5</v>
      </c>
      <c r="W162" s="83">
        <v>-3.5</v>
      </c>
      <c r="X162" s="79">
        <v>5</v>
      </c>
      <c r="Y162" s="82" t="str">
        <f>IF(OR(INDEX([1]Relação_Calibrações_Localização!$F$8:$F$259,MATCH(B162,[1]Relação_Calibrações_Localização!$B$8:$B$259,0))="PERDIDO",INDEX([1]Relação_Calibrações_Localização!F35:F285,MATCH(B162,[1]Relação_Calibrações_Localização!$B$8:$B$259,0))="NÃO LOCALIZADO"),"PERDIDO",
IF(OR(Q162="",T162="",W162=""),"INDETERMINADO",IF(MAX(R162,U162,X162)&lt;=5,"APROVADO","REPROVADO")))</f>
        <v>APROVADO</v>
      </c>
    </row>
    <row r="163" spans="1:25" x14ac:dyDescent="0.25">
      <c r="A163" s="72">
        <v>37332281</v>
      </c>
      <c r="B163" s="73" t="s">
        <v>191</v>
      </c>
      <c r="C163" s="74">
        <v>44286</v>
      </c>
      <c r="D163" s="75">
        <f>EDATE(C163,12)</f>
        <v>44651</v>
      </c>
      <c r="E163" s="48">
        <v>286422</v>
      </c>
      <c r="F163" s="76">
        <v>0.15</v>
      </c>
      <c r="G163" s="83"/>
      <c r="H163" s="78">
        <f>ABS(G163)+F163</f>
        <v>0.15</v>
      </c>
      <c r="I163" s="83"/>
      <c r="J163" s="78">
        <f>ABS(I163)+F163</f>
        <v>0.15</v>
      </c>
      <c r="K163" s="83"/>
      <c r="L163" s="78">
        <f>ABS(K163)+F163</f>
        <v>0.15</v>
      </c>
      <c r="M163" s="83"/>
      <c r="N163" s="79">
        <f>ABS(M163)+F163</f>
        <v>0.15</v>
      </c>
      <c r="O163" s="53" t="str">
        <f>IF(OR(INDEX([1]Relação_Calibrações_Localização!$F$8:$F$259,MATCH(B163,[1]Relação_Calibrações_Localização!$B$8:$B$259,0))="PERDIDO",INDEX([1]Relação_Calibrações_Localização!F36:F286,MATCH(B163,[1]Relação_Calibrações_Localização!$B$8:$B$259,0))="NÃO LOCALIZADO"),"PERDIDO",
IF(OR(G163="",I163="",K163="",M163=""),"INDETERMINADO",IF(MAX(H163,J163,L163,N163)&lt;=0.5,"APROVADO","REPROVADO")))</f>
        <v>INDETERMINADO</v>
      </c>
      <c r="P163" s="80">
        <v>0.4</v>
      </c>
      <c r="Q163" s="83"/>
      <c r="R163" s="79">
        <f>ABS(Q163)+P163</f>
        <v>0.4</v>
      </c>
      <c r="S163" s="81">
        <v>1</v>
      </c>
      <c r="T163" s="83"/>
      <c r="U163" s="79">
        <f>ABS(T163)+S163</f>
        <v>1</v>
      </c>
      <c r="V163" s="80">
        <v>1.5</v>
      </c>
      <c r="W163" s="83"/>
      <c r="X163" s="79">
        <f>ABS(W163)+V163</f>
        <v>1.5</v>
      </c>
      <c r="Y163" s="82" t="str">
        <f>IF(OR(INDEX([1]Relação_Calibrações_Localização!$F$8:$F$259,MATCH(B163,[1]Relação_Calibrações_Localização!$B$8:$B$259,0))="PERDIDO",INDEX([1]Relação_Calibrações_Localização!F36:F286,MATCH(B163,[1]Relação_Calibrações_Localização!$B$8:$B$259,0))="NÃO LOCALIZADO"),"PERDIDO",
IF(OR(Q163="",T163="",W163=""),"INDETERMINADO",IF(MAX(R163,U163,X163)&lt;=5,"APROVADO","REPROVADO")))</f>
        <v>INDETERMINADO</v>
      </c>
    </row>
    <row r="164" spans="1:25" x14ac:dyDescent="0.25">
      <c r="A164" s="72">
        <v>37332434</v>
      </c>
      <c r="B164" s="73" t="s">
        <v>192</v>
      </c>
      <c r="C164" s="74">
        <v>43857</v>
      </c>
      <c r="D164" s="75">
        <f>EDATE(C164,12)</f>
        <v>44223</v>
      </c>
      <c r="E164" s="48">
        <v>247384</v>
      </c>
      <c r="F164" s="76">
        <v>0.15</v>
      </c>
      <c r="G164" s="83"/>
      <c r="H164" s="78">
        <f>ABS(G164)+F164</f>
        <v>0.15</v>
      </c>
      <c r="I164" s="83"/>
      <c r="J164" s="78">
        <f>ABS(I164)+F164</f>
        <v>0.15</v>
      </c>
      <c r="K164" s="83"/>
      <c r="L164" s="78">
        <f>ABS(K164)+F164</f>
        <v>0.15</v>
      </c>
      <c r="M164" s="83"/>
      <c r="N164" s="79">
        <f>ABS(M164)+F164</f>
        <v>0.15</v>
      </c>
      <c r="O164" s="53" t="str">
        <f>IF(OR(INDEX([1]Relação_Calibrações_Localização!$F$8:$F$259,MATCH(B164,[1]Relação_Calibrações_Localização!$B$8:$B$259,0))="PERDIDO",INDEX([1]Relação_Calibrações_Localização!F38:F288,MATCH(B164,[1]Relação_Calibrações_Localização!$B$8:$B$259,0))="NÃO LOCALIZADO"),"PERDIDO",
IF(OR(G164="",I164="",K164="",M164=""),"INDETERMINADO",IF(MAX(H164,J164,L164,N164)&lt;=0.5,"APROVADO","REPROVADO")))</f>
        <v>INDETERMINADO</v>
      </c>
      <c r="P164" s="80">
        <v>0.4</v>
      </c>
      <c r="Q164" s="83"/>
      <c r="R164" s="79">
        <f>ABS(Q164)+P164</f>
        <v>0.4</v>
      </c>
      <c r="S164" s="81">
        <v>1</v>
      </c>
      <c r="T164" s="83"/>
      <c r="U164" s="79">
        <f>ABS(T164)+S164</f>
        <v>1</v>
      </c>
      <c r="V164" s="80">
        <v>1.5</v>
      </c>
      <c r="W164" s="83"/>
      <c r="X164" s="79">
        <f>ABS(W164)+V164</f>
        <v>1.5</v>
      </c>
      <c r="Y164" s="82" t="str">
        <f>IF(OR(INDEX([1]Relação_Calibrações_Localização!$F$8:$F$259,MATCH(B164,[1]Relação_Calibrações_Localização!$B$8:$B$259,0))="PERDIDO",INDEX([1]Relação_Calibrações_Localização!F38:F288,MATCH(B164,[1]Relação_Calibrações_Localização!$B$8:$B$259,0))="NÃO LOCALIZADO"),"PERDIDO",
IF(OR(Q164="",T164="",W164=""),"INDETERMINADO",IF(MAX(R164,U164,X164)&lt;=5,"APROVADO","REPROVADO")))</f>
        <v>INDETERMINADO</v>
      </c>
    </row>
    <row r="165" spans="1:25" x14ac:dyDescent="0.25">
      <c r="A165" s="72">
        <v>37332437</v>
      </c>
      <c r="B165" s="73" t="s">
        <v>193</v>
      </c>
      <c r="C165" s="74">
        <v>45523</v>
      </c>
      <c r="D165" s="75">
        <v>45888</v>
      </c>
      <c r="E165" s="48">
        <v>454929</v>
      </c>
      <c r="F165" s="76">
        <v>0.2</v>
      </c>
      <c r="G165" s="83">
        <v>-0.01</v>
      </c>
      <c r="H165" s="78">
        <v>0.21000000000000002</v>
      </c>
      <c r="I165" s="83">
        <v>0.09</v>
      </c>
      <c r="J165" s="78">
        <v>0.29000000000000004</v>
      </c>
      <c r="K165" s="83">
        <v>0.09</v>
      </c>
      <c r="L165" s="78">
        <v>0.29000000000000004</v>
      </c>
      <c r="M165" s="83">
        <v>0.09</v>
      </c>
      <c r="N165" s="79">
        <v>0.29000000000000004</v>
      </c>
      <c r="O165" s="53" t="str">
        <f>IF(OR(INDEX([1]Relação_Calibrações_Localização!$F$8:$F$259,MATCH(B165,[1]Relação_Calibrações_Localização!$B$8:$B$259,0))="PERDIDO",INDEX([1]Relação_Calibrações_Localização!F40:F290,MATCH(B165,[1]Relação_Calibrações_Localização!$B$8:$B$259,0))="NÃO LOCALIZADO"),"PERDIDO",
IF(OR(G165="",I165="",K165="",M165=""),"INDETERMINADO",IF(MAX(H165,J165,L165,N165)&lt;=0.5,"APROVADO","REPROVADO")))</f>
        <v>APROVADO</v>
      </c>
      <c r="P165" s="80">
        <v>0.4</v>
      </c>
      <c r="Q165" s="83">
        <v>3.5</v>
      </c>
      <c r="R165" s="79">
        <v>3.9</v>
      </c>
      <c r="S165" s="81">
        <v>1</v>
      </c>
      <c r="T165" s="83">
        <v>1.6</v>
      </c>
      <c r="U165" s="79">
        <v>2.6</v>
      </c>
      <c r="V165" s="80">
        <v>1.5</v>
      </c>
      <c r="W165" s="83">
        <v>-3.3</v>
      </c>
      <c r="X165" s="79">
        <v>4.8</v>
      </c>
      <c r="Y165" s="82" t="str">
        <f>IF(OR(INDEX([1]Relação_Calibrações_Localização!$F$8:$F$259,MATCH(B165,[1]Relação_Calibrações_Localização!$B$8:$B$259,0))="PERDIDO",INDEX([1]Relação_Calibrações_Localização!F40:F290,MATCH(B165,[1]Relação_Calibrações_Localização!$B$8:$B$259,0))="NÃO LOCALIZADO"),"PERDIDO",
IF(OR(Q165="",T165="",W165=""),"INDETERMINADO",IF(MAX(R165,U165,X165)&lt;=5,"APROVADO","REPROVADO")))</f>
        <v>APROVADO</v>
      </c>
    </row>
    <row r="166" spans="1:25" x14ac:dyDescent="0.25">
      <c r="A166" s="72">
        <v>37332453</v>
      </c>
      <c r="B166" s="73" t="s">
        <v>194</v>
      </c>
      <c r="C166" s="74">
        <v>45523</v>
      </c>
      <c r="D166" s="75">
        <v>45888</v>
      </c>
      <c r="E166" s="48">
        <v>454924</v>
      </c>
      <c r="F166" s="76">
        <v>0.2</v>
      </c>
      <c r="G166" s="83">
        <v>-0.01</v>
      </c>
      <c r="H166" s="78">
        <v>0.21000000000000002</v>
      </c>
      <c r="I166" s="83">
        <v>-0.01</v>
      </c>
      <c r="J166" s="78">
        <v>0.21000000000000002</v>
      </c>
      <c r="K166" s="83">
        <v>0.09</v>
      </c>
      <c r="L166" s="78">
        <v>0.29000000000000004</v>
      </c>
      <c r="M166" s="83">
        <v>0.19</v>
      </c>
      <c r="N166" s="79">
        <v>0.39</v>
      </c>
      <c r="O166" s="53" t="str">
        <f>IF(OR(INDEX([1]Relação_Calibrações_Localização!$F$8:$F$259,MATCH(B166,[1]Relação_Calibrações_Localização!$B$8:$B$259,0))="PERDIDO",INDEX([1]Relação_Calibrações_Localização!F41:F291,MATCH(B166,[1]Relação_Calibrações_Localização!$B$8:$B$259,0))="NÃO LOCALIZADO"),"PERDIDO",
IF(OR(G166="",I166="",K166="",M166=""),"INDETERMINADO",IF(MAX(H166,J166,L166,N166)&lt;=0.5,"APROVADO","REPROVADO")))</f>
        <v>APROVADO</v>
      </c>
      <c r="P166" s="80">
        <v>0.4</v>
      </c>
      <c r="Q166" s="83">
        <v>3.5</v>
      </c>
      <c r="R166" s="79">
        <v>3.9</v>
      </c>
      <c r="S166" s="81">
        <v>1</v>
      </c>
      <c r="T166" s="83">
        <v>1.8</v>
      </c>
      <c r="U166" s="79">
        <v>2.8</v>
      </c>
      <c r="V166" s="80">
        <v>1.5</v>
      </c>
      <c r="W166" s="83">
        <v>-1.8</v>
      </c>
      <c r="X166" s="79">
        <v>3.3</v>
      </c>
      <c r="Y166" s="82" t="str">
        <f>IF(OR(INDEX([1]Relação_Calibrações_Localização!$F$8:$F$259,MATCH(B166,[1]Relação_Calibrações_Localização!$B$8:$B$259,0))="PERDIDO",INDEX([1]Relação_Calibrações_Localização!F41:F291,MATCH(B166,[1]Relação_Calibrações_Localização!$B$8:$B$259,0))="NÃO LOCALIZADO"),"PERDIDO",
IF(OR(Q166="",T166="",W166=""),"INDETERMINADO",IF(MAX(R166,U166,X166)&lt;=5,"APROVADO","REPROVADO")))</f>
        <v>APROVADO</v>
      </c>
    </row>
    <row r="167" spans="1:25" x14ac:dyDescent="0.25">
      <c r="A167" s="72">
        <v>37332466</v>
      </c>
      <c r="B167" s="73" t="s">
        <v>195</v>
      </c>
      <c r="C167" s="74">
        <v>44705</v>
      </c>
      <c r="D167" s="75">
        <f>EDATE(C167,12)</f>
        <v>45070</v>
      </c>
      <c r="E167" s="48">
        <v>335208</v>
      </c>
      <c r="F167" s="76">
        <v>0.15</v>
      </c>
      <c r="G167" s="83">
        <v>-0.1</v>
      </c>
      <c r="H167" s="78">
        <f>ABS(G167)+F167</f>
        <v>0.25</v>
      </c>
      <c r="I167" s="83">
        <v>0</v>
      </c>
      <c r="J167" s="78">
        <f>ABS(I167)+F167</f>
        <v>0.15</v>
      </c>
      <c r="K167" s="83">
        <v>0</v>
      </c>
      <c r="L167" s="78">
        <f>ABS(K167)+F167</f>
        <v>0.15</v>
      </c>
      <c r="M167" s="83">
        <v>0</v>
      </c>
      <c r="N167" s="79">
        <f>ABS(M167)+F167</f>
        <v>0.15</v>
      </c>
      <c r="O167" s="53" t="str">
        <f>IF(OR(INDEX([1]Relação_Calibrações_Localização!$F$8:$F$259,MATCH(B167,[1]Relação_Calibrações_Localização!$B$8:$B$259,0))="PERDIDO",INDEX([1]Relação_Calibrações_Localização!F43:F293,MATCH(B167,[1]Relação_Calibrações_Localização!$B$8:$B$259,0))="NÃO LOCALIZADO"),"PERDIDO",
IF(OR(G167="",I167="",K167="",M167=""),"INDETERMINADO",IF(MAX(H167,J167,L167,N167)&lt;=0.5,"APROVADO","REPROVADO")))</f>
        <v>APROVADO</v>
      </c>
      <c r="P167" s="80">
        <v>0.4</v>
      </c>
      <c r="Q167" s="83">
        <v>2.5</v>
      </c>
      <c r="R167" s="79">
        <f>ABS(Q167)+P167</f>
        <v>2.9</v>
      </c>
      <c r="S167" s="81">
        <v>1</v>
      </c>
      <c r="T167" s="83">
        <v>1.8</v>
      </c>
      <c r="U167" s="79">
        <f>ABS(T167)+S167</f>
        <v>2.8</v>
      </c>
      <c r="V167" s="80">
        <v>1.5</v>
      </c>
      <c r="W167" s="83">
        <v>-1.1000000000000001</v>
      </c>
      <c r="X167" s="79">
        <f>ABS(W167)+V167</f>
        <v>2.6</v>
      </c>
      <c r="Y167" s="82" t="str">
        <f>IF(OR(INDEX([1]Relação_Calibrações_Localização!$F$8:$F$259,MATCH(B167,[1]Relação_Calibrações_Localização!$B$8:$B$259,0))="PERDIDO",INDEX([1]Relação_Calibrações_Localização!F43:F293,MATCH(B167,[1]Relação_Calibrações_Localização!$B$8:$B$259,0))="NÃO LOCALIZADO"),"PERDIDO",
IF(OR(Q167="",T167="",W167=""),"INDETERMINADO",IF(MAX(R167,U167,X167)&lt;=5,"APROVADO","REPROVADO")))</f>
        <v>APROVADO</v>
      </c>
    </row>
    <row r="168" spans="1:25" x14ac:dyDescent="0.25">
      <c r="A168" s="72">
        <v>37332471</v>
      </c>
      <c r="B168" s="73" t="s">
        <v>196</v>
      </c>
      <c r="C168" s="74">
        <v>45460</v>
      </c>
      <c r="D168" s="75">
        <v>45825</v>
      </c>
      <c r="E168" s="48">
        <v>443741</v>
      </c>
      <c r="F168" s="76">
        <v>0.2</v>
      </c>
      <c r="G168" s="83">
        <v>-0.11</v>
      </c>
      <c r="H168" s="78">
        <v>0.31</v>
      </c>
      <c r="I168" s="83">
        <v>-0.11</v>
      </c>
      <c r="J168" s="78">
        <v>0.31</v>
      </c>
      <c r="K168" s="83">
        <v>-0.01</v>
      </c>
      <c r="L168" s="78">
        <v>0.21000000000000002</v>
      </c>
      <c r="M168" s="83">
        <v>0.19</v>
      </c>
      <c r="N168" s="79">
        <v>0.39</v>
      </c>
      <c r="O168" s="53" t="str">
        <f>IF(OR(INDEX([1]Relação_Calibrações_Localização!$F$8:$F$259,MATCH(B168,[1]Relação_Calibrações_Localização!$B$8:$B$259,0))="PERDIDO",INDEX([1]Relação_Calibrações_Localização!F45:F295,MATCH(B168,[1]Relação_Calibrações_Localização!$B$8:$B$259,0))="NÃO LOCALIZADO"),"PERDIDO",
IF(OR(G168="",I168="",K168="",M168=""),"INDETERMINADO",IF(MAX(H168,J168,L168,N168)&lt;=0.5,"APROVADO","REPROVADO")))</f>
        <v>APROVADO</v>
      </c>
      <c r="P168" s="80">
        <v>0.4</v>
      </c>
      <c r="Q168" s="83">
        <v>3.2</v>
      </c>
      <c r="R168" s="79">
        <v>3.6</v>
      </c>
      <c r="S168" s="81">
        <v>1</v>
      </c>
      <c r="T168" s="83">
        <v>0.6</v>
      </c>
      <c r="U168" s="79">
        <v>1.6</v>
      </c>
      <c r="V168" s="80">
        <v>1.5</v>
      </c>
      <c r="W168" s="83">
        <v>-3.1</v>
      </c>
      <c r="X168" s="79">
        <v>4.5999999999999996</v>
      </c>
      <c r="Y168" s="82" t="str">
        <f>IF(OR(INDEX([1]Relação_Calibrações_Localização!$F$8:$F$259,MATCH(B168,[1]Relação_Calibrações_Localização!$B$8:$B$259,0))="PERDIDO",INDEX([1]Relação_Calibrações_Localização!F45:F295,MATCH(B168,[1]Relação_Calibrações_Localização!$B$8:$B$259,0))="NÃO LOCALIZADO"),"PERDIDO",
IF(OR(Q168="",T168="",W168=""),"INDETERMINADO",IF(MAX(R168,U168,X168)&lt;=5,"APROVADO","REPROVADO")))</f>
        <v>APROVADO</v>
      </c>
    </row>
    <row r="169" spans="1:25" x14ac:dyDescent="0.25">
      <c r="A169" s="72">
        <v>37332484</v>
      </c>
      <c r="B169" s="73" t="s">
        <v>197</v>
      </c>
      <c r="C169" s="74">
        <v>45523</v>
      </c>
      <c r="D169" s="75">
        <v>45888</v>
      </c>
      <c r="E169" s="48">
        <v>454943</v>
      </c>
      <c r="F169" s="76">
        <v>0.2</v>
      </c>
      <c r="G169" s="83">
        <v>-0.11</v>
      </c>
      <c r="H169" s="78">
        <v>0.31</v>
      </c>
      <c r="I169" s="83">
        <v>-0.11</v>
      </c>
      <c r="J169" s="78">
        <v>0.31</v>
      </c>
      <c r="K169" s="83">
        <v>-0.01</v>
      </c>
      <c r="L169" s="78">
        <v>0.21000000000000002</v>
      </c>
      <c r="M169" s="83">
        <v>0.09</v>
      </c>
      <c r="N169" s="79">
        <v>0.29000000000000004</v>
      </c>
      <c r="O169" s="53" t="str">
        <f>IF(OR(INDEX([1]Relação_Calibrações_Localização!$F$8:$F$259,MATCH(B169,[1]Relação_Calibrações_Localização!$B$8:$B$259,0))="PERDIDO",INDEX([1]Relação_Calibrações_Localização!F49:F299,MATCH(B169,[1]Relação_Calibrações_Localização!$B$8:$B$259,0))="NÃO LOCALIZADO"),"PERDIDO",
IF(OR(G169="",I169="",K169="",M169=""),"INDETERMINADO",IF(MAX(H169,J169,L169,N169)&lt;=0.5,"APROVADO","REPROVADO")))</f>
        <v>APROVADO</v>
      </c>
      <c r="P169" s="80">
        <v>0.4</v>
      </c>
      <c r="Q169" s="83">
        <v>3.5</v>
      </c>
      <c r="R169" s="79">
        <v>3.9</v>
      </c>
      <c r="S169" s="81">
        <v>1</v>
      </c>
      <c r="T169" s="83">
        <v>2</v>
      </c>
      <c r="U169" s="79">
        <v>3</v>
      </c>
      <c r="V169" s="80">
        <v>1.5</v>
      </c>
      <c r="W169" s="83">
        <v>-2.6</v>
      </c>
      <c r="X169" s="79">
        <v>4.0999999999999996</v>
      </c>
      <c r="Y169" s="82" t="str">
        <f>IF(OR(INDEX([1]Relação_Calibrações_Localização!$F$8:$F$259,MATCH(B169,[1]Relação_Calibrações_Localização!$B$8:$B$259,0))="PERDIDO",INDEX([1]Relação_Calibrações_Localização!F49:F299,MATCH(B169,[1]Relação_Calibrações_Localização!$B$8:$B$259,0))="NÃO LOCALIZADO"),"PERDIDO",
IF(OR(Q169="",T169="",W169=""),"INDETERMINADO",IF(MAX(R169,U169,X169)&lt;=5,"APROVADO","REPROVADO")))</f>
        <v>APROVADO</v>
      </c>
    </row>
    <row r="170" spans="1:25" x14ac:dyDescent="0.25">
      <c r="A170" s="72">
        <v>37332485</v>
      </c>
      <c r="B170" s="73" t="s">
        <v>198</v>
      </c>
      <c r="C170" s="74">
        <v>45523</v>
      </c>
      <c r="D170" s="75">
        <v>45888</v>
      </c>
      <c r="E170" s="48">
        <v>454932</v>
      </c>
      <c r="F170" s="76">
        <v>0.2</v>
      </c>
      <c r="G170" s="83">
        <v>-0.01</v>
      </c>
      <c r="H170" s="78">
        <v>0.21000000000000002</v>
      </c>
      <c r="I170" s="83">
        <v>-0.01</v>
      </c>
      <c r="J170" s="78">
        <v>0.21000000000000002</v>
      </c>
      <c r="K170" s="83">
        <v>-0.01</v>
      </c>
      <c r="L170" s="78">
        <v>0.21000000000000002</v>
      </c>
      <c r="M170" s="83">
        <v>-0.01</v>
      </c>
      <c r="N170" s="79">
        <v>0.21000000000000002</v>
      </c>
      <c r="O170" s="53" t="str">
        <f>IF(OR(INDEX([1]Relação_Calibrações_Localização!$F$8:$F$259,MATCH(B170,[1]Relação_Calibrações_Localização!$B$8:$B$259,0))="PERDIDO",INDEX([1]Relação_Calibrações_Localização!F50:F300,MATCH(B170,[1]Relação_Calibrações_Localização!$B$8:$B$259,0))="NÃO LOCALIZADO"),"PERDIDO",
IF(OR(G170="",I170="",K170="",M170=""),"INDETERMINADO",IF(MAX(H170,J170,L170,N170)&lt;=0.5,"APROVADO","REPROVADO")))</f>
        <v>APROVADO</v>
      </c>
      <c r="P170" s="80">
        <v>0.4</v>
      </c>
      <c r="Q170" s="83">
        <v>3.5</v>
      </c>
      <c r="R170" s="79">
        <v>3.9</v>
      </c>
      <c r="S170" s="81">
        <v>1</v>
      </c>
      <c r="T170" s="83">
        <v>0.9</v>
      </c>
      <c r="U170" s="79">
        <v>1.9</v>
      </c>
      <c r="V170" s="80">
        <v>1.5</v>
      </c>
      <c r="W170" s="83">
        <v>-3.5</v>
      </c>
      <c r="X170" s="79">
        <v>5</v>
      </c>
      <c r="Y170" s="82" t="str">
        <f>IF(OR(INDEX([1]Relação_Calibrações_Localização!$F$8:$F$259,MATCH(B170,[1]Relação_Calibrações_Localização!$B$8:$B$259,0))="PERDIDO",INDEX([1]Relação_Calibrações_Localização!F50:F300,MATCH(B170,[1]Relação_Calibrações_Localização!$B$8:$B$259,0))="NÃO LOCALIZADO"),"PERDIDO",
IF(OR(Q170="",T170="",W170=""),"INDETERMINADO",IF(MAX(R170,U170,X170)&lt;=5,"APROVADO","REPROVADO")))</f>
        <v>APROVADO</v>
      </c>
    </row>
    <row r="171" spans="1:25" x14ac:dyDescent="0.25">
      <c r="A171" s="72">
        <v>37333127</v>
      </c>
      <c r="B171" s="73" t="s">
        <v>199</v>
      </c>
      <c r="C171" s="74">
        <v>45523</v>
      </c>
      <c r="D171" s="75">
        <v>45888</v>
      </c>
      <c r="E171" s="48">
        <v>454910</v>
      </c>
      <c r="F171" s="76">
        <v>0.2</v>
      </c>
      <c r="G171" s="83">
        <v>0.09</v>
      </c>
      <c r="H171" s="78">
        <v>0.29000000000000004</v>
      </c>
      <c r="I171" s="83">
        <v>0.09</v>
      </c>
      <c r="J171" s="78">
        <v>0.29000000000000004</v>
      </c>
      <c r="K171" s="83">
        <v>0.09</v>
      </c>
      <c r="L171" s="78">
        <v>0.29000000000000004</v>
      </c>
      <c r="M171" s="83">
        <v>0.19</v>
      </c>
      <c r="N171" s="79">
        <v>0.39</v>
      </c>
      <c r="O171" s="53" t="str">
        <f>IF(OR(INDEX([1]Relação_Calibrações_Localização!$F$8:$F$259,MATCH(B171,[1]Relação_Calibrações_Localização!$B$8:$B$259,0))="PERDIDO",INDEX([1]Relação_Calibrações_Localização!F53:F303,MATCH(B171,[1]Relação_Calibrações_Localização!$B$8:$B$259,0))="NÃO LOCALIZADO"),"PERDIDO",
IF(OR(G171="",I171="",K171="",M171=""),"INDETERMINADO",IF(MAX(H171,J171,L171,N171)&lt;=0.5,"APROVADO","REPROVADO")))</f>
        <v>APROVADO</v>
      </c>
      <c r="P171" s="80">
        <v>0.4</v>
      </c>
      <c r="Q171" s="83">
        <v>3</v>
      </c>
      <c r="R171" s="79">
        <v>3.4</v>
      </c>
      <c r="S171" s="81">
        <v>1</v>
      </c>
      <c r="T171" s="83">
        <v>0.9</v>
      </c>
      <c r="U171" s="79">
        <v>1.9</v>
      </c>
      <c r="V171" s="80">
        <v>1.5</v>
      </c>
      <c r="W171" s="83">
        <v>-3.3</v>
      </c>
      <c r="X171" s="79">
        <v>4.8</v>
      </c>
      <c r="Y171" s="82" t="str">
        <f>IF(OR(INDEX([1]Relação_Calibrações_Localização!$F$8:$F$259,MATCH(B171,[1]Relação_Calibrações_Localização!$B$8:$B$259,0))="PERDIDO",INDEX([1]Relação_Calibrações_Localização!F53:F303,MATCH(B171,[1]Relação_Calibrações_Localização!$B$8:$B$259,0))="NÃO LOCALIZADO"),"PERDIDO",
IF(OR(Q171="",T171="",W171=""),"INDETERMINADO",IF(MAX(R171,U171,X171)&lt;=5,"APROVADO","REPROVADO")))</f>
        <v>APROVADO</v>
      </c>
    </row>
    <row r="172" spans="1:25" x14ac:dyDescent="0.25">
      <c r="A172" s="72">
        <v>37333157</v>
      </c>
      <c r="B172" s="73" t="s">
        <v>200</v>
      </c>
      <c r="C172" s="74">
        <v>45523</v>
      </c>
      <c r="D172" s="75">
        <v>45888</v>
      </c>
      <c r="E172" s="48">
        <v>454948</v>
      </c>
      <c r="F172" s="76">
        <v>0.2</v>
      </c>
      <c r="G172" s="83">
        <v>-0.11</v>
      </c>
      <c r="H172" s="78">
        <v>0.31</v>
      </c>
      <c r="I172" s="83">
        <v>-0.01</v>
      </c>
      <c r="J172" s="78">
        <v>0.21000000000000002</v>
      </c>
      <c r="K172" s="83">
        <v>0.09</v>
      </c>
      <c r="L172" s="78">
        <v>0.29000000000000004</v>
      </c>
      <c r="M172" s="83">
        <v>0.09</v>
      </c>
      <c r="N172" s="79">
        <v>0.29000000000000004</v>
      </c>
      <c r="O172" s="53" t="str">
        <f>IF(OR(INDEX([1]Relação_Calibrações_Localização!$F$8:$F$259,MATCH(B172,[1]Relação_Calibrações_Localização!$B$8:$B$259,0))="PERDIDO",INDEX([1]Relação_Calibrações_Localização!F65:F315,MATCH(B172,[1]Relação_Calibrações_Localização!$B$8:$B$259,0))="NÃO LOCALIZADO"),"PERDIDO",
IF(OR(G172="",I172="",K172="",M172=""),"INDETERMINADO",IF(MAX(H172,J172,L172,N172)&lt;=0.5,"APROVADO","REPROVADO")))</f>
        <v>APROVADO</v>
      </c>
      <c r="P172" s="80">
        <v>0.4</v>
      </c>
      <c r="Q172" s="83">
        <v>3.4</v>
      </c>
      <c r="R172" s="79">
        <v>3.8</v>
      </c>
      <c r="S172" s="81">
        <v>1</v>
      </c>
      <c r="T172" s="83">
        <v>0</v>
      </c>
      <c r="U172" s="79">
        <v>1</v>
      </c>
      <c r="V172" s="80">
        <v>1.5</v>
      </c>
      <c r="W172" s="83">
        <v>-3.5</v>
      </c>
      <c r="X172" s="79">
        <v>5</v>
      </c>
      <c r="Y172" s="82" t="str">
        <f>IF(OR(INDEX([1]Relação_Calibrações_Localização!$F$8:$F$259,MATCH(B172,[1]Relação_Calibrações_Localização!$B$8:$B$259,0))="PERDIDO",INDEX([1]Relação_Calibrações_Localização!F65:F315,MATCH(B172,[1]Relação_Calibrações_Localização!$B$8:$B$259,0))="NÃO LOCALIZADO"),"PERDIDO",
IF(OR(Q172="",T172="",W172=""),"INDETERMINADO",IF(MAX(R172,U172,X172)&lt;=5,"APROVADO","REPROVADO")))</f>
        <v>APROVADO</v>
      </c>
    </row>
    <row r="173" spans="1:25" x14ac:dyDescent="0.25">
      <c r="A173" s="72">
        <v>37333197</v>
      </c>
      <c r="B173" s="73" t="s">
        <v>201</v>
      </c>
      <c r="C173" s="74">
        <v>45523</v>
      </c>
      <c r="D173" s="75">
        <v>45888</v>
      </c>
      <c r="E173" s="48">
        <v>454912</v>
      </c>
      <c r="F173" s="76">
        <v>0.2</v>
      </c>
      <c r="G173" s="83">
        <v>0.09</v>
      </c>
      <c r="H173" s="78">
        <v>0.29000000000000004</v>
      </c>
      <c r="I173" s="83">
        <v>0.09</v>
      </c>
      <c r="J173" s="78">
        <v>0.29000000000000004</v>
      </c>
      <c r="K173" s="83">
        <v>0.09</v>
      </c>
      <c r="L173" s="78">
        <v>0.29000000000000004</v>
      </c>
      <c r="M173" s="83">
        <v>0.09</v>
      </c>
      <c r="N173" s="79">
        <v>0.29000000000000004</v>
      </c>
      <c r="O173" s="53" t="str">
        <f>IF(OR(INDEX([1]Relação_Calibrações_Localização!$F$8:$F$259,MATCH(B173,[1]Relação_Calibrações_Localização!$B$8:$B$259,0))="PERDIDO",INDEX([1]Relação_Calibrações_Localização!F68:F318,MATCH(B173,[1]Relação_Calibrações_Localização!$B$8:$B$259,0))="NÃO LOCALIZADO"),"PERDIDO",
IF(OR(G173="",I173="",K173="",M173=""),"INDETERMINADO",IF(MAX(H173,J173,L173,N173)&lt;=0.5,"APROVADO","REPROVADO")))</f>
        <v>APROVADO</v>
      </c>
      <c r="P173" s="80">
        <v>0.4</v>
      </c>
      <c r="Q173" s="83">
        <v>3.2</v>
      </c>
      <c r="R173" s="79">
        <v>3.6</v>
      </c>
      <c r="S173" s="81">
        <v>1</v>
      </c>
      <c r="T173" s="83">
        <v>1.1000000000000001</v>
      </c>
      <c r="U173" s="79">
        <v>2.1</v>
      </c>
      <c r="V173" s="80">
        <v>1.5</v>
      </c>
      <c r="W173" s="83">
        <v>-3.5</v>
      </c>
      <c r="X173" s="79">
        <v>5</v>
      </c>
      <c r="Y173" s="82" t="str">
        <f>IF(OR(INDEX([1]Relação_Calibrações_Localização!$F$8:$F$259,MATCH(B173,[1]Relação_Calibrações_Localização!$B$8:$B$259,0))="PERDIDO",INDEX([1]Relação_Calibrações_Localização!F68:F318,MATCH(B173,[1]Relação_Calibrações_Localização!$B$8:$B$259,0))="NÃO LOCALIZADO"),"PERDIDO",
IF(OR(Q173="",T173="",W173=""),"INDETERMINADO",IF(MAX(R173,U173,X173)&lt;=5,"APROVADO","REPROVADO")))</f>
        <v>APROVADO</v>
      </c>
    </row>
    <row r="174" spans="1:25" x14ac:dyDescent="0.25">
      <c r="A174" s="72">
        <v>37333288</v>
      </c>
      <c r="B174" s="73" t="s">
        <v>202</v>
      </c>
      <c r="C174" s="74">
        <v>45523</v>
      </c>
      <c r="D174" s="75">
        <v>45888</v>
      </c>
      <c r="E174" s="48">
        <v>454944</v>
      </c>
      <c r="F174" s="76">
        <v>0.2</v>
      </c>
      <c r="G174" s="83">
        <v>-0.11</v>
      </c>
      <c r="H174" s="78">
        <v>0.31</v>
      </c>
      <c r="I174" s="83">
        <v>-0.11</v>
      </c>
      <c r="J174" s="78">
        <v>0.31</v>
      </c>
      <c r="K174" s="83">
        <v>0.09</v>
      </c>
      <c r="L174" s="78">
        <v>0.29000000000000004</v>
      </c>
      <c r="M174" s="83">
        <v>0.09</v>
      </c>
      <c r="N174" s="79">
        <v>0.29000000000000004</v>
      </c>
      <c r="O174" s="53" t="str">
        <f>IF(OR(INDEX([1]Relação_Calibrações_Localização!$F$8:$F$259,MATCH(B174,[1]Relação_Calibrações_Localização!$B$8:$B$259,0))="PERDIDO",INDEX([1]Relação_Calibrações_Localização!F70:F320,MATCH(B174,[1]Relação_Calibrações_Localização!$B$8:$B$259,0))="NÃO LOCALIZADO"),"PERDIDO",
IF(OR(G174="",I174="",K174="",M174=""),"INDETERMINADO",IF(MAX(H174,J174,L174,N174)&lt;=0.5,"APROVADO","REPROVADO")))</f>
        <v>APROVADO</v>
      </c>
      <c r="P174" s="80">
        <v>0.4</v>
      </c>
      <c r="Q174" s="83">
        <v>3.5</v>
      </c>
      <c r="R174" s="79">
        <v>3.9</v>
      </c>
      <c r="S174" s="81">
        <v>1</v>
      </c>
      <c r="T174" s="83">
        <v>1.2</v>
      </c>
      <c r="U174" s="79">
        <v>2.2000000000000002</v>
      </c>
      <c r="V174" s="80">
        <v>1.5</v>
      </c>
      <c r="W174" s="83">
        <v>-3.5</v>
      </c>
      <c r="X174" s="79">
        <v>5</v>
      </c>
      <c r="Y174" s="82" t="str">
        <f>IF(OR(INDEX([1]Relação_Calibrações_Localização!$F$8:$F$259,MATCH(B174,[1]Relação_Calibrações_Localização!$B$8:$B$259,0))="PERDIDO",INDEX([1]Relação_Calibrações_Localização!F70:F320,MATCH(B174,[1]Relação_Calibrações_Localização!$B$8:$B$259,0))="NÃO LOCALIZADO"),"PERDIDO",
IF(OR(Q174="",T174="",W174=""),"INDETERMINADO",IF(MAX(R174,U174,X174)&lt;=5,"APROVADO","REPROVADO")))</f>
        <v>APROVADO</v>
      </c>
    </row>
    <row r="175" spans="1:25" x14ac:dyDescent="0.25">
      <c r="A175" s="72">
        <v>37333291</v>
      </c>
      <c r="B175" s="73" t="s">
        <v>203</v>
      </c>
      <c r="C175" s="74">
        <v>45523</v>
      </c>
      <c r="D175" s="75">
        <v>45888</v>
      </c>
      <c r="E175" s="48">
        <v>454945</v>
      </c>
      <c r="F175" s="76">
        <v>0.2</v>
      </c>
      <c r="G175" s="83">
        <v>-0.11</v>
      </c>
      <c r="H175" s="78">
        <v>0.31</v>
      </c>
      <c r="I175" s="83">
        <v>-0.11</v>
      </c>
      <c r="J175" s="78">
        <v>0.31</v>
      </c>
      <c r="K175" s="83">
        <v>0.09</v>
      </c>
      <c r="L175" s="78">
        <v>0.29000000000000004</v>
      </c>
      <c r="M175" s="83">
        <v>0.09</v>
      </c>
      <c r="N175" s="79">
        <v>0.29000000000000004</v>
      </c>
      <c r="O175" s="53" t="str">
        <f>IF(OR(INDEX([1]Relação_Calibrações_Localização!$F$8:$F$259,MATCH(B175,[1]Relação_Calibrações_Localização!$B$8:$B$259,0))="PERDIDO",INDEX([1]Relação_Calibrações_Localização!F71:F321,MATCH(B175,[1]Relação_Calibrações_Localização!$B$8:$B$259,0))="NÃO LOCALIZADO"),"PERDIDO",
IF(OR(G175="",I175="",K175="",M175=""),"INDETERMINADO",IF(MAX(H175,J175,L175,N175)&lt;=0.5,"APROVADO","REPROVADO")))</f>
        <v>APROVADO</v>
      </c>
      <c r="P175" s="80">
        <v>0.4</v>
      </c>
      <c r="Q175" s="83">
        <v>3.5</v>
      </c>
      <c r="R175" s="79">
        <v>3.9</v>
      </c>
      <c r="S175" s="81">
        <v>1</v>
      </c>
      <c r="T175" s="83">
        <v>0.5</v>
      </c>
      <c r="U175" s="79">
        <v>1.5</v>
      </c>
      <c r="V175" s="80">
        <v>1.5</v>
      </c>
      <c r="W175" s="83">
        <v>-3.5</v>
      </c>
      <c r="X175" s="79">
        <v>5</v>
      </c>
      <c r="Y175" s="82" t="str">
        <f>IF(OR(INDEX([1]Relação_Calibrações_Localização!$F$8:$F$259,MATCH(B175,[1]Relação_Calibrações_Localização!$B$8:$B$259,0))="PERDIDO",INDEX([1]Relação_Calibrações_Localização!F71:F321,MATCH(B175,[1]Relação_Calibrações_Localização!$B$8:$B$259,0))="NÃO LOCALIZADO"),"PERDIDO",
IF(OR(Q175="",T175="",W175=""),"INDETERMINADO",IF(MAX(R175,U175,X175)&lt;=5,"APROVADO","REPROVADO")))</f>
        <v>APROVADO</v>
      </c>
    </row>
    <row r="176" spans="1:25" x14ac:dyDescent="0.25">
      <c r="A176" s="72">
        <v>37333726</v>
      </c>
      <c r="B176" s="73" t="s">
        <v>204</v>
      </c>
      <c r="C176" s="74">
        <v>44286</v>
      </c>
      <c r="D176" s="75">
        <f>EDATE(C176,12)</f>
        <v>44651</v>
      </c>
      <c r="E176" s="48">
        <v>286467</v>
      </c>
      <c r="F176" s="76">
        <v>0.15</v>
      </c>
      <c r="G176" s="83"/>
      <c r="H176" s="78">
        <f>ABS(G176)+F176</f>
        <v>0.15</v>
      </c>
      <c r="I176" s="83"/>
      <c r="J176" s="78">
        <f>ABS(I176)+F176</f>
        <v>0.15</v>
      </c>
      <c r="K176" s="83"/>
      <c r="L176" s="78">
        <f>ABS(K176)+F176</f>
        <v>0.15</v>
      </c>
      <c r="M176" s="83"/>
      <c r="N176" s="79">
        <f>ABS(M176)+F176</f>
        <v>0.15</v>
      </c>
      <c r="O176" s="53" t="str">
        <f>IF(OR(INDEX([1]Relação_Calibrações_Localização!$F$8:$F$259,MATCH(B176,[1]Relação_Calibrações_Localização!$B$8:$B$259,0))="PERDIDO",INDEX([1]Relação_Calibrações_Localização!F76:F326,MATCH(B176,[1]Relação_Calibrações_Localização!$B$8:$B$259,0))="NÃO LOCALIZADO"),"PERDIDO",
IF(OR(G176="",I176="",K176="",M176=""),"INDETERMINADO",IF(MAX(H176,J176,L176,N176)&lt;=0.5,"APROVADO","REPROVADO")))</f>
        <v>INDETERMINADO</v>
      </c>
      <c r="P176" s="80">
        <v>0.4</v>
      </c>
      <c r="Q176" s="83"/>
      <c r="R176" s="79">
        <f>ABS(Q176)+P176</f>
        <v>0.4</v>
      </c>
      <c r="S176" s="81">
        <v>1</v>
      </c>
      <c r="T176" s="83"/>
      <c r="U176" s="79">
        <f>ABS(T176)+S176</f>
        <v>1</v>
      </c>
      <c r="V176" s="80">
        <v>1.5</v>
      </c>
      <c r="W176" s="83"/>
      <c r="X176" s="79">
        <f>ABS(W176)+V176</f>
        <v>1.5</v>
      </c>
      <c r="Y176" s="82" t="str">
        <f>IF(OR(INDEX([1]Relação_Calibrações_Localização!$F$8:$F$259,MATCH(B176,[1]Relação_Calibrações_Localização!$B$8:$B$259,0))="PERDIDO",INDEX([1]Relação_Calibrações_Localização!F76:F326,MATCH(B176,[1]Relação_Calibrações_Localização!$B$8:$B$259,0))="NÃO LOCALIZADO"),"PERDIDO",
IF(OR(Q176="",T176="",W176=""),"INDETERMINADO",IF(MAX(R176,U176,X176)&lt;=5,"APROVADO","REPROVADO")))</f>
        <v>INDETERMINADO</v>
      </c>
    </row>
    <row r="177" spans="1:25" x14ac:dyDescent="0.25">
      <c r="A177" s="72">
        <v>37333732</v>
      </c>
      <c r="B177" s="73" t="s">
        <v>205</v>
      </c>
      <c r="C177" s="74">
        <v>45523</v>
      </c>
      <c r="D177" s="75">
        <v>45888</v>
      </c>
      <c r="E177" s="48">
        <v>454926</v>
      </c>
      <c r="F177" s="76">
        <v>0.2</v>
      </c>
      <c r="G177" s="83">
        <v>-0.01</v>
      </c>
      <c r="H177" s="78">
        <v>0.21000000000000002</v>
      </c>
      <c r="I177" s="83">
        <v>0.09</v>
      </c>
      <c r="J177" s="78">
        <v>0.29000000000000004</v>
      </c>
      <c r="K177" s="83">
        <v>0.09</v>
      </c>
      <c r="L177" s="78">
        <v>0.29000000000000004</v>
      </c>
      <c r="M177" s="83">
        <v>0.19</v>
      </c>
      <c r="N177" s="79">
        <v>0.39</v>
      </c>
      <c r="O177" s="53" t="str">
        <f>IF(OR(INDEX([1]Relação_Calibrações_Localização!$F$8:$F$259,MATCH(B177,[1]Relação_Calibrações_Localização!$B$8:$B$259,0))="PERDIDO",INDEX([1]Relação_Calibrações_Localização!F77:F327,MATCH(B177,[1]Relação_Calibrações_Localização!$B$8:$B$259,0))="NÃO LOCALIZADO"),"PERDIDO",
IF(OR(G177="",I177="",K177="",M177=""),"INDETERMINADO",IF(MAX(H177,J177,L177,N177)&lt;=0.5,"APROVADO","REPROVADO")))</f>
        <v>APROVADO</v>
      </c>
      <c r="P177" s="80">
        <v>0.4</v>
      </c>
      <c r="Q177" s="83">
        <v>3.5</v>
      </c>
      <c r="R177" s="79">
        <v>3.9</v>
      </c>
      <c r="S177" s="81">
        <v>1</v>
      </c>
      <c r="T177" s="83">
        <v>0.4</v>
      </c>
      <c r="U177" s="79">
        <v>1.4</v>
      </c>
      <c r="V177" s="80">
        <v>1.5</v>
      </c>
      <c r="W177" s="83">
        <v>-3.5</v>
      </c>
      <c r="X177" s="79">
        <v>5</v>
      </c>
      <c r="Y177" s="82" t="str">
        <f>IF(OR(INDEX([1]Relação_Calibrações_Localização!$F$8:$F$259,MATCH(B177,[1]Relação_Calibrações_Localização!$B$8:$B$259,0))="PERDIDO",INDEX([1]Relação_Calibrações_Localização!F77:F327,MATCH(B177,[1]Relação_Calibrações_Localização!$B$8:$B$259,0))="NÃO LOCALIZADO"),"PERDIDO",
IF(OR(Q177="",T177="",W177=""),"INDETERMINADO",IF(MAX(R177,U177,X177)&lt;=5,"APROVADO","REPROVADO")))</f>
        <v>APROVADO</v>
      </c>
    </row>
    <row r="178" spans="1:25" x14ac:dyDescent="0.25">
      <c r="A178" s="72">
        <v>37333734</v>
      </c>
      <c r="B178" s="73" t="s">
        <v>206</v>
      </c>
      <c r="C178" s="74">
        <v>45523</v>
      </c>
      <c r="D178" s="75">
        <v>45888</v>
      </c>
      <c r="E178" s="48">
        <v>454949</v>
      </c>
      <c r="F178" s="76">
        <v>0.2</v>
      </c>
      <c r="G178" s="83">
        <v>-0.11</v>
      </c>
      <c r="H178" s="78">
        <v>0.31</v>
      </c>
      <c r="I178" s="83">
        <v>-0.01</v>
      </c>
      <c r="J178" s="78">
        <v>0.21000000000000002</v>
      </c>
      <c r="K178" s="83">
        <v>0.09</v>
      </c>
      <c r="L178" s="78">
        <v>0.29000000000000004</v>
      </c>
      <c r="M178" s="83">
        <v>0.09</v>
      </c>
      <c r="N178" s="79">
        <v>0.29000000000000004</v>
      </c>
      <c r="O178" s="53" t="str">
        <f>IF(OR(INDEX([1]Relação_Calibrações_Localização!$F$8:$F$259,MATCH(B178,[1]Relação_Calibrações_Localização!$B$8:$B$259,0))="PERDIDO",INDEX([1]Relação_Calibrações_Localização!F78:F328,MATCH(B178,[1]Relação_Calibrações_Localização!$B$8:$B$259,0))="NÃO LOCALIZADO"),"PERDIDO",
IF(OR(G178="",I178="",K178="",M178=""),"INDETERMINADO",IF(MAX(H178,J178,L178,N178)&lt;=0.5,"APROVADO","REPROVADO")))</f>
        <v>APROVADO</v>
      </c>
      <c r="P178" s="80">
        <v>0.4</v>
      </c>
      <c r="Q178" s="83">
        <v>3.4</v>
      </c>
      <c r="R178" s="79">
        <v>3.8</v>
      </c>
      <c r="S178" s="81">
        <v>1</v>
      </c>
      <c r="T178" s="83">
        <v>1.6</v>
      </c>
      <c r="U178" s="79">
        <v>2.6</v>
      </c>
      <c r="V178" s="80">
        <v>1.5</v>
      </c>
      <c r="W178" s="83">
        <v>-3.3</v>
      </c>
      <c r="X178" s="79">
        <v>4.8</v>
      </c>
      <c r="Y178" s="82" t="str">
        <f>IF(OR(INDEX([1]Relação_Calibrações_Localização!$F$8:$F$259,MATCH(B178,[1]Relação_Calibrações_Localização!$B$8:$B$259,0))="PERDIDO",INDEX([1]Relação_Calibrações_Localização!F78:F328,MATCH(B178,[1]Relação_Calibrações_Localização!$B$8:$B$259,0))="NÃO LOCALIZADO"),"PERDIDO",
IF(OR(Q178="",T178="",W178=""),"INDETERMINADO",IF(MAX(R178,U178,X178)&lt;=5,"APROVADO","REPROVADO")))</f>
        <v>APROVADO</v>
      </c>
    </row>
    <row r="179" spans="1:25" x14ac:dyDescent="0.25">
      <c r="A179" s="72">
        <v>37333745</v>
      </c>
      <c r="B179" s="73" t="s">
        <v>207</v>
      </c>
      <c r="C179" s="74">
        <v>45523</v>
      </c>
      <c r="D179" s="75">
        <v>45888</v>
      </c>
      <c r="E179" s="48">
        <v>454950</v>
      </c>
      <c r="F179" s="76">
        <v>0.2</v>
      </c>
      <c r="G179" s="83">
        <v>-0.01</v>
      </c>
      <c r="H179" s="78">
        <v>0.21000000000000002</v>
      </c>
      <c r="I179" s="83">
        <v>-0.01</v>
      </c>
      <c r="J179" s="78">
        <v>0.21000000000000002</v>
      </c>
      <c r="K179" s="83">
        <v>0.09</v>
      </c>
      <c r="L179" s="78">
        <v>0.29000000000000004</v>
      </c>
      <c r="M179" s="83">
        <v>0.09</v>
      </c>
      <c r="N179" s="79">
        <v>0.29000000000000004</v>
      </c>
      <c r="O179" s="53" t="str">
        <f>IF(OR(INDEX([1]Relação_Calibrações_Localização!$F$8:$F$259,MATCH(B179,[1]Relação_Calibrações_Localização!$B$8:$B$259,0))="PERDIDO",INDEX([1]Relação_Calibrações_Localização!F79:F329,MATCH(B179,[1]Relação_Calibrações_Localização!$B$8:$B$259,0))="NÃO LOCALIZADO"),"PERDIDO",
IF(OR(G179="",I179="",K179="",M179=""),"INDETERMINADO",IF(MAX(H179,J179,L179,N179)&lt;=0.5,"APROVADO","REPROVADO")))</f>
        <v>APROVADO</v>
      </c>
      <c r="P179" s="80">
        <v>0.4</v>
      </c>
      <c r="Q179" s="83">
        <v>3.5</v>
      </c>
      <c r="R179" s="79">
        <v>3.9</v>
      </c>
      <c r="S179" s="81">
        <v>1</v>
      </c>
      <c r="T179" s="83">
        <v>1.6</v>
      </c>
      <c r="U179" s="79">
        <v>2.6</v>
      </c>
      <c r="V179" s="80">
        <v>1.5</v>
      </c>
      <c r="W179" s="83">
        <v>-3.2</v>
      </c>
      <c r="X179" s="79">
        <v>4.7</v>
      </c>
      <c r="Y179" s="82" t="str">
        <f>IF(OR(INDEX([1]Relação_Calibrações_Localização!$F$8:$F$259,MATCH(B179,[1]Relação_Calibrações_Localização!$B$8:$B$259,0))="PERDIDO",INDEX([1]Relação_Calibrações_Localização!F79:F329,MATCH(B179,[1]Relação_Calibrações_Localização!$B$8:$B$259,0))="NÃO LOCALIZADO"),"PERDIDO",
IF(OR(Q179="",T179="",W179=""),"INDETERMINADO",IF(MAX(R179,U179,X179)&lt;=5,"APROVADO","REPROVADO")))</f>
        <v>APROVADO</v>
      </c>
    </row>
    <row r="180" spans="1:25" x14ac:dyDescent="0.25">
      <c r="A180" s="72">
        <v>37333819</v>
      </c>
      <c r="B180" s="73" t="s">
        <v>208</v>
      </c>
      <c r="C180" s="74">
        <v>45523</v>
      </c>
      <c r="D180" s="75">
        <v>45888</v>
      </c>
      <c r="E180" s="48">
        <v>454951</v>
      </c>
      <c r="F180" s="76">
        <v>0.2</v>
      </c>
      <c r="G180" s="83">
        <v>-0.01</v>
      </c>
      <c r="H180" s="78">
        <v>0.21000000000000002</v>
      </c>
      <c r="I180" s="83">
        <v>-0.01</v>
      </c>
      <c r="J180" s="78">
        <v>0.21000000000000002</v>
      </c>
      <c r="K180" s="83">
        <v>-0.01</v>
      </c>
      <c r="L180" s="78">
        <v>0.21000000000000002</v>
      </c>
      <c r="M180" s="83">
        <v>0.09</v>
      </c>
      <c r="N180" s="79">
        <v>0.29000000000000004</v>
      </c>
      <c r="O180" s="53" t="str">
        <f>IF(OR(INDEX([1]Relação_Calibrações_Localização!$F$8:$F$259,MATCH(B180,[1]Relação_Calibrações_Localização!$B$8:$B$259,0))="PERDIDO",INDEX([1]Relação_Calibrações_Localização!F83:F333,MATCH(B180,[1]Relação_Calibrações_Localização!$B$8:$B$259,0))="NÃO LOCALIZADO"),"PERDIDO",
IF(OR(G180="",I180="",K180="",M180=""),"INDETERMINADO",IF(MAX(H180,J180,L180,N180)&lt;=0.5,"APROVADO","REPROVADO")))</f>
        <v>APROVADO</v>
      </c>
      <c r="P180" s="80">
        <v>0.4</v>
      </c>
      <c r="Q180" s="83">
        <v>-2.5</v>
      </c>
      <c r="R180" s="79">
        <v>2.9</v>
      </c>
      <c r="S180" s="81">
        <v>1</v>
      </c>
      <c r="T180" s="83">
        <v>2.2000000000000002</v>
      </c>
      <c r="U180" s="79">
        <v>3.2</v>
      </c>
      <c r="V180" s="80">
        <v>1.5</v>
      </c>
      <c r="W180" s="83">
        <v>-3</v>
      </c>
      <c r="X180" s="79">
        <v>4.5</v>
      </c>
      <c r="Y180" s="82" t="str">
        <f>IF(OR(INDEX([1]Relação_Calibrações_Localização!$F$8:$F$259,MATCH(B180,[1]Relação_Calibrações_Localização!$B$8:$B$259,0))="PERDIDO",INDEX([1]Relação_Calibrações_Localização!F83:F333,MATCH(B180,[1]Relação_Calibrações_Localização!$B$8:$B$259,0))="NÃO LOCALIZADO"),"PERDIDO",
IF(OR(Q180="",T180="",W180=""),"INDETERMINADO",IF(MAX(R180,U180,X180)&lt;=5,"APROVADO","REPROVADO")))</f>
        <v>APROVADO</v>
      </c>
    </row>
    <row r="181" spans="1:25" x14ac:dyDescent="0.25">
      <c r="A181" s="72">
        <v>37333836</v>
      </c>
      <c r="B181" s="73" t="s">
        <v>209</v>
      </c>
      <c r="C181" s="74">
        <v>45523</v>
      </c>
      <c r="D181" s="75">
        <v>45888</v>
      </c>
      <c r="E181" s="48">
        <v>454925</v>
      </c>
      <c r="F181" s="76">
        <v>0.2</v>
      </c>
      <c r="G181" s="83">
        <v>-0.01</v>
      </c>
      <c r="H181" s="78">
        <v>0.21000000000000002</v>
      </c>
      <c r="I181" s="83">
        <v>0.09</v>
      </c>
      <c r="J181" s="78">
        <v>0.29000000000000004</v>
      </c>
      <c r="K181" s="83">
        <v>0.09</v>
      </c>
      <c r="L181" s="78">
        <v>0.29000000000000004</v>
      </c>
      <c r="M181" s="83">
        <v>0.19</v>
      </c>
      <c r="N181" s="79">
        <v>0.39</v>
      </c>
      <c r="O181" s="53" t="str">
        <f>IF(OR(INDEX([1]Relação_Calibrações_Localização!$F$8:$F$259,MATCH(B181,[1]Relação_Calibrações_Localização!$B$8:$B$259,0))="PERDIDO",INDEX([1]Relação_Calibrações_Localização!F85:F335,MATCH(B181,[1]Relação_Calibrações_Localização!$B$8:$B$259,0))="NÃO LOCALIZADO"),"PERDIDO",
IF(OR(G181="",I181="",K181="",M181=""),"INDETERMINADO",IF(MAX(H181,J181,L181,N181)&lt;=0.5,"APROVADO","REPROVADO")))</f>
        <v>APROVADO</v>
      </c>
      <c r="P181" s="80">
        <v>0.4</v>
      </c>
      <c r="Q181" s="83">
        <v>3.5</v>
      </c>
      <c r="R181" s="79">
        <v>3.9</v>
      </c>
      <c r="S181" s="81">
        <v>1</v>
      </c>
      <c r="T181" s="83">
        <v>0.9</v>
      </c>
      <c r="U181" s="79">
        <v>1.9</v>
      </c>
      <c r="V181" s="80">
        <v>1.5</v>
      </c>
      <c r="W181" s="83">
        <v>-2.9</v>
      </c>
      <c r="X181" s="79">
        <v>4.4000000000000004</v>
      </c>
      <c r="Y181" s="82" t="str">
        <f>IF(OR(INDEX([1]Relação_Calibrações_Localização!$F$8:$F$259,MATCH(B181,[1]Relação_Calibrações_Localização!$B$8:$B$259,0))="PERDIDO",INDEX([1]Relação_Calibrações_Localização!F85:F335,MATCH(B181,[1]Relação_Calibrações_Localização!$B$8:$B$259,0))="NÃO LOCALIZADO"),"PERDIDO",
IF(OR(Q181="",T181="",W181=""),"INDETERMINADO",IF(MAX(R181,U181,X181)&lt;=5,"APROVADO","REPROVADO")))</f>
        <v>APROVADO</v>
      </c>
    </row>
    <row r="182" spans="1:25" x14ac:dyDescent="0.25">
      <c r="A182" s="72">
        <v>37334226</v>
      </c>
      <c r="B182" s="73" t="s">
        <v>210</v>
      </c>
      <c r="C182" s="74">
        <v>45523</v>
      </c>
      <c r="D182" s="75">
        <v>45888</v>
      </c>
      <c r="E182" s="48">
        <v>454952</v>
      </c>
      <c r="F182" s="76">
        <v>0.2</v>
      </c>
      <c r="G182" s="83">
        <v>-0.01</v>
      </c>
      <c r="H182" s="78">
        <v>0.21000000000000002</v>
      </c>
      <c r="I182" s="83">
        <v>-0.01</v>
      </c>
      <c r="J182" s="78">
        <v>0.21000000000000002</v>
      </c>
      <c r="K182" s="83">
        <v>-0.01</v>
      </c>
      <c r="L182" s="78">
        <v>0.21000000000000002</v>
      </c>
      <c r="M182" s="83">
        <v>-0.01</v>
      </c>
      <c r="N182" s="79">
        <v>0.21000000000000002</v>
      </c>
      <c r="O182" s="53" t="str">
        <f>IF(OR(INDEX([1]Relação_Calibrações_Localização!$F$8:$F$259,MATCH(B182,[1]Relação_Calibrações_Localização!$B$8:$B$259,0))="PERDIDO",INDEX([1]Relação_Calibrações_Localização!F88:F338,MATCH(B182,[1]Relação_Calibrações_Localização!$B$8:$B$259,0))="NÃO LOCALIZADO"),"PERDIDO",
IF(OR(G182="",I182="",K182="",M182=""),"INDETERMINADO",IF(MAX(H182,J182,L182,N182)&lt;=0.5,"APROVADO","REPROVADO")))</f>
        <v>APROVADO</v>
      </c>
      <c r="P182" s="80">
        <v>0.4</v>
      </c>
      <c r="Q182" s="83">
        <v>3.5</v>
      </c>
      <c r="R182" s="79">
        <v>3.9</v>
      </c>
      <c r="S182" s="81">
        <v>1</v>
      </c>
      <c r="T182" s="83">
        <v>0.4</v>
      </c>
      <c r="U182" s="79">
        <v>1.4</v>
      </c>
      <c r="V182" s="80">
        <v>1.5</v>
      </c>
      <c r="W182" s="83">
        <v>-3.5</v>
      </c>
      <c r="X182" s="79">
        <v>5</v>
      </c>
      <c r="Y182" s="82" t="str">
        <f>IF(OR(INDEX([1]Relação_Calibrações_Localização!$F$8:$F$259,MATCH(B182,[1]Relação_Calibrações_Localização!$B$8:$B$259,0))="PERDIDO",INDEX([1]Relação_Calibrações_Localização!F88:F338,MATCH(B182,[1]Relação_Calibrações_Localização!$B$8:$B$259,0))="NÃO LOCALIZADO"),"PERDIDO",
IF(OR(Q182="",T182="",W182=""),"INDETERMINADO",IF(MAX(R182,U182,X182)&lt;=5,"APROVADO","REPROVADO")))</f>
        <v>APROVADO</v>
      </c>
    </row>
    <row r="183" spans="1:25" x14ac:dyDescent="0.25">
      <c r="A183" s="72">
        <v>37334320</v>
      </c>
      <c r="B183" s="73" t="s">
        <v>211</v>
      </c>
      <c r="C183" s="74">
        <v>45523</v>
      </c>
      <c r="D183" s="75">
        <v>45888</v>
      </c>
      <c r="E183" s="48">
        <v>454953</v>
      </c>
      <c r="F183" s="76">
        <v>0.2</v>
      </c>
      <c r="G183" s="83">
        <v>-0.01</v>
      </c>
      <c r="H183" s="78">
        <v>0.21000000000000002</v>
      </c>
      <c r="I183" s="83">
        <v>-0.01</v>
      </c>
      <c r="J183" s="78">
        <v>0.21000000000000002</v>
      </c>
      <c r="K183" s="83">
        <v>-0.01</v>
      </c>
      <c r="L183" s="78">
        <v>0.21000000000000002</v>
      </c>
      <c r="M183" s="83">
        <v>-0.01</v>
      </c>
      <c r="N183" s="79">
        <v>0.21000000000000002</v>
      </c>
      <c r="O183" s="53" t="str">
        <f>IF(OR(INDEX([1]Relação_Calibrações_Localização!$F$8:$F$259,MATCH(B183,[1]Relação_Calibrações_Localização!$B$8:$B$259,0))="PERDIDO",INDEX([1]Relação_Calibrações_Localização!F93:F343,MATCH(B183,[1]Relação_Calibrações_Localização!$B$8:$B$259,0))="NÃO LOCALIZADO"),"PERDIDO",
IF(OR(G183="",I183="",K183="",M183=""),"INDETERMINADO",IF(MAX(H183,J183,L183,N183)&lt;=0.5,"APROVADO","REPROVADO")))</f>
        <v>APROVADO</v>
      </c>
      <c r="P183" s="80">
        <v>0.4</v>
      </c>
      <c r="Q183" s="83">
        <v>3.5</v>
      </c>
      <c r="R183" s="79">
        <v>3.9</v>
      </c>
      <c r="S183" s="81">
        <v>1</v>
      </c>
      <c r="T183" s="83">
        <v>1.9</v>
      </c>
      <c r="U183" s="79">
        <v>2.9</v>
      </c>
      <c r="V183" s="80">
        <v>1.5</v>
      </c>
      <c r="W183" s="83">
        <v>-2.7</v>
      </c>
      <c r="X183" s="79">
        <v>4.2</v>
      </c>
      <c r="Y183" s="82" t="str">
        <f>IF(OR(INDEX([1]Relação_Calibrações_Localização!$F$8:$F$259,MATCH(B183,[1]Relação_Calibrações_Localização!$B$8:$B$259,0))="PERDIDO",INDEX([1]Relação_Calibrações_Localização!F93:F343,MATCH(B183,[1]Relação_Calibrações_Localização!$B$8:$B$259,0))="NÃO LOCALIZADO"),"PERDIDO",
IF(OR(Q183="",T183="",W183=""),"INDETERMINADO",IF(MAX(R183,U183,X183)&lt;=5,"APROVADO","REPROVADO")))</f>
        <v>APROVADO</v>
      </c>
    </row>
    <row r="184" spans="1:25" x14ac:dyDescent="0.25">
      <c r="A184" s="72">
        <v>37334350</v>
      </c>
      <c r="B184" s="73" t="s">
        <v>212</v>
      </c>
      <c r="C184" s="74">
        <v>45523</v>
      </c>
      <c r="D184" s="75">
        <v>45888</v>
      </c>
      <c r="E184" s="48">
        <v>454954</v>
      </c>
      <c r="F184" s="76">
        <v>0.2</v>
      </c>
      <c r="G184" s="83">
        <v>-0.01</v>
      </c>
      <c r="H184" s="78">
        <v>0.21000000000000002</v>
      </c>
      <c r="I184" s="83">
        <v>-0.01</v>
      </c>
      <c r="J184" s="78">
        <v>0.21000000000000002</v>
      </c>
      <c r="K184" s="83">
        <v>-0.01</v>
      </c>
      <c r="L184" s="78">
        <v>0.21000000000000002</v>
      </c>
      <c r="M184" s="83">
        <v>-0.01</v>
      </c>
      <c r="N184" s="79">
        <v>0.21000000000000002</v>
      </c>
      <c r="O184" s="53" t="str">
        <f>IF(OR(INDEX([1]Relação_Calibrações_Localização!$F$8:$F$259,MATCH(B184,[1]Relação_Calibrações_Localização!$B$8:$B$259,0))="PERDIDO",INDEX([1]Relação_Calibrações_Localização!F99:F349,MATCH(B184,[1]Relação_Calibrações_Localização!$B$8:$B$259,0))="NÃO LOCALIZADO"),"PERDIDO",
IF(OR(G184="",I184="",K184="",M184=""),"INDETERMINADO",IF(MAX(H184,J184,L184,N184)&lt;=0.5,"APROVADO","REPROVADO")))</f>
        <v>APROVADO</v>
      </c>
      <c r="P184" s="80">
        <v>0.4</v>
      </c>
      <c r="Q184" s="83">
        <v>2.8</v>
      </c>
      <c r="R184" s="79">
        <v>3.1999999999999997</v>
      </c>
      <c r="S184" s="81">
        <v>1</v>
      </c>
      <c r="T184" s="83">
        <v>-0.4</v>
      </c>
      <c r="U184" s="79">
        <v>1.4</v>
      </c>
      <c r="V184" s="80">
        <v>1.5</v>
      </c>
      <c r="W184" s="83">
        <v>-3.5</v>
      </c>
      <c r="X184" s="79">
        <v>5</v>
      </c>
      <c r="Y184" s="82" t="str">
        <f>IF(OR(INDEX([1]Relação_Calibrações_Localização!$F$8:$F$259,MATCH(B184,[1]Relação_Calibrações_Localização!$B$8:$B$259,0))="PERDIDO",INDEX([1]Relação_Calibrações_Localização!F99:F349,MATCH(B184,[1]Relação_Calibrações_Localização!$B$8:$B$259,0))="NÃO LOCALIZADO"),"PERDIDO",
IF(OR(Q184="",T184="",W184=""),"INDETERMINADO",IF(MAX(R184,U184,X184)&lt;=5,"APROVADO","REPROVADO")))</f>
        <v>APROVADO</v>
      </c>
    </row>
    <row r="185" spans="1:25" x14ac:dyDescent="0.25">
      <c r="A185" s="72">
        <v>37334371</v>
      </c>
      <c r="B185" s="73" t="s">
        <v>213</v>
      </c>
      <c r="C185" s="74">
        <v>45523</v>
      </c>
      <c r="D185" s="75">
        <v>45888</v>
      </c>
      <c r="E185" s="48">
        <v>454914</v>
      </c>
      <c r="F185" s="76">
        <v>0.2</v>
      </c>
      <c r="G185" s="83">
        <v>-0.01</v>
      </c>
      <c r="H185" s="78">
        <v>0.21000000000000002</v>
      </c>
      <c r="I185" s="83">
        <v>-0.01</v>
      </c>
      <c r="J185" s="78">
        <v>0.21000000000000002</v>
      </c>
      <c r="K185" s="83">
        <v>-0.01</v>
      </c>
      <c r="L185" s="78">
        <v>0.21000000000000002</v>
      </c>
      <c r="M185" s="83">
        <v>0.09</v>
      </c>
      <c r="N185" s="79">
        <v>0.29000000000000004</v>
      </c>
      <c r="O185" s="53" t="str">
        <f>IF(OR(INDEX([1]Relação_Calibrações_Localização!$F$8:$F$259,MATCH(B185,[1]Relação_Calibrações_Localização!$B$8:$B$259,0))="PERDIDO",INDEX([1]Relação_Calibrações_Localização!F103:F353,MATCH(B185,[1]Relação_Calibrações_Localização!$B$8:$B$259,0))="NÃO LOCALIZADO"),"PERDIDO",
IF(OR(G185="",I185="",K185="",M185=""),"INDETERMINADO",IF(MAX(H185,J185,L185,N185)&lt;=0.5,"APROVADO","REPROVADO")))</f>
        <v>APROVADO</v>
      </c>
      <c r="P185" s="80">
        <v>0.4</v>
      </c>
      <c r="Q185" s="83">
        <v>3.5</v>
      </c>
      <c r="R185" s="79">
        <v>3.9</v>
      </c>
      <c r="S185" s="81">
        <v>1</v>
      </c>
      <c r="T185" s="83">
        <v>1</v>
      </c>
      <c r="U185" s="79">
        <v>2</v>
      </c>
      <c r="V185" s="80">
        <v>1.5</v>
      </c>
      <c r="W185" s="83">
        <v>-3.4</v>
      </c>
      <c r="X185" s="79">
        <v>4.9000000000000004</v>
      </c>
      <c r="Y185" s="82" t="str">
        <f>IF(OR(INDEX([1]Relação_Calibrações_Localização!$F$8:$F$259,MATCH(B185,[1]Relação_Calibrações_Localização!$B$8:$B$259,0))="PERDIDO",INDEX([1]Relação_Calibrações_Localização!F103:F353,MATCH(B185,[1]Relação_Calibrações_Localização!$B$8:$B$259,0))="NÃO LOCALIZADO"),"PERDIDO",
IF(OR(Q185="",T185="",W185=""),"INDETERMINADO",IF(MAX(R185,U185,X185)&lt;=5,"APROVADO","REPROVADO")))</f>
        <v>APROVADO</v>
      </c>
    </row>
    <row r="186" spans="1:25" x14ac:dyDescent="0.25">
      <c r="A186" s="72">
        <v>37334433</v>
      </c>
      <c r="B186" s="73" t="s">
        <v>214</v>
      </c>
      <c r="C186" s="74">
        <v>45523</v>
      </c>
      <c r="D186" s="75">
        <v>45888</v>
      </c>
      <c r="E186" s="48">
        <v>454955</v>
      </c>
      <c r="F186" s="76">
        <v>0.2</v>
      </c>
      <c r="G186" s="83">
        <v>-0.11</v>
      </c>
      <c r="H186" s="78">
        <v>0.31</v>
      </c>
      <c r="I186" s="83">
        <v>-0.01</v>
      </c>
      <c r="J186" s="78">
        <v>0.21000000000000002</v>
      </c>
      <c r="K186" s="83">
        <v>0.09</v>
      </c>
      <c r="L186" s="78">
        <v>0.29000000000000004</v>
      </c>
      <c r="M186" s="83">
        <v>0.09</v>
      </c>
      <c r="N186" s="79">
        <v>0.29000000000000004</v>
      </c>
      <c r="O186" s="53" t="str">
        <f>IF(OR(INDEX([1]Relação_Calibrações_Localização!$F$8:$F$259,MATCH(B186,[1]Relação_Calibrações_Localização!$B$8:$B$259,0))="PERDIDO",INDEX([1]Relação_Calibrações_Localização!F106:F356,MATCH(B186,[1]Relação_Calibrações_Localização!$B$8:$B$259,0))="NÃO LOCALIZADO"),"PERDIDO",
IF(OR(G186="",I186="",K186="",M186=""),"INDETERMINADO",IF(MAX(H186,J186,L186,N186)&lt;=0.5,"APROVADO","REPROVADO")))</f>
        <v>APROVADO</v>
      </c>
      <c r="P186" s="80">
        <v>0.4</v>
      </c>
      <c r="Q186" s="83">
        <v>3.5</v>
      </c>
      <c r="R186" s="79">
        <v>3.9</v>
      </c>
      <c r="S186" s="81">
        <v>1</v>
      </c>
      <c r="T186" s="83">
        <v>1.7</v>
      </c>
      <c r="U186" s="79">
        <v>2.7</v>
      </c>
      <c r="V186" s="80">
        <v>1.5</v>
      </c>
      <c r="W186" s="83">
        <v>-3</v>
      </c>
      <c r="X186" s="79">
        <v>4.5</v>
      </c>
      <c r="Y186" s="82" t="str">
        <f>IF(OR(INDEX([1]Relação_Calibrações_Localização!$F$8:$F$259,MATCH(B186,[1]Relação_Calibrações_Localização!$B$8:$B$259,0))="PERDIDO",INDEX([1]Relação_Calibrações_Localização!F106:F356,MATCH(B186,[1]Relação_Calibrações_Localização!$B$8:$B$259,0))="NÃO LOCALIZADO"),"PERDIDO",
IF(OR(Q186="",T186="",W186=""),"INDETERMINADO",IF(MAX(R186,U186,X186)&lt;=5,"APROVADO","REPROVADO")))</f>
        <v>APROVADO</v>
      </c>
    </row>
    <row r="187" spans="1:25" x14ac:dyDescent="0.25">
      <c r="A187" s="72">
        <v>37334440</v>
      </c>
      <c r="B187" s="73" t="s">
        <v>215</v>
      </c>
      <c r="C187" s="74">
        <v>44229</v>
      </c>
      <c r="D187" s="75">
        <f>EDATE(C187,12)</f>
        <v>44594</v>
      </c>
      <c r="E187" s="48">
        <v>279312</v>
      </c>
      <c r="F187" s="76">
        <v>0.15</v>
      </c>
      <c r="G187" s="83"/>
      <c r="H187" s="78">
        <f>ABS(G187)+F187</f>
        <v>0.15</v>
      </c>
      <c r="I187" s="83"/>
      <c r="J187" s="78">
        <f>ABS(I187)+F187</f>
        <v>0.15</v>
      </c>
      <c r="K187" s="83"/>
      <c r="L187" s="78">
        <f>ABS(K187)+F187</f>
        <v>0.15</v>
      </c>
      <c r="M187" s="83"/>
      <c r="N187" s="79">
        <f>ABS(M187)+F187</f>
        <v>0.15</v>
      </c>
      <c r="O187" s="53" t="str">
        <f>IF(OR(INDEX([1]Relação_Calibrações_Localização!$F$8:$F$259,MATCH(B187,[1]Relação_Calibrações_Localização!$B$8:$B$259,0))="PERDIDO",INDEX([1]Relação_Calibrações_Localização!F108:F358,MATCH(B187,[1]Relação_Calibrações_Localização!$B$8:$B$259,0))="NÃO LOCALIZADO"),"PERDIDO",
IF(OR(G187="",I187="",K187="",M187=""),"INDETERMINADO",IF(MAX(H187,J187,L187,N187)&lt;=0.5,"APROVADO","REPROVADO")))</f>
        <v>INDETERMINADO</v>
      </c>
      <c r="P187" s="80">
        <v>0.4</v>
      </c>
      <c r="Q187" s="83"/>
      <c r="R187" s="79">
        <f>ABS(Q187)+P187</f>
        <v>0.4</v>
      </c>
      <c r="S187" s="81">
        <v>1</v>
      </c>
      <c r="T187" s="83"/>
      <c r="U187" s="79">
        <f>ABS(T187)+S187</f>
        <v>1</v>
      </c>
      <c r="V187" s="80">
        <v>1.5</v>
      </c>
      <c r="W187" s="83"/>
      <c r="X187" s="79">
        <f>ABS(W187)+V187</f>
        <v>1.5</v>
      </c>
      <c r="Y187" s="82" t="str">
        <f>IF(OR(INDEX([1]Relação_Calibrações_Localização!$F$8:$F$259,MATCH(B187,[1]Relação_Calibrações_Localização!$B$8:$B$259,0))="PERDIDO",INDEX([1]Relação_Calibrações_Localização!F108:F358,MATCH(B187,[1]Relação_Calibrações_Localização!$B$8:$B$259,0))="NÃO LOCALIZADO"),"PERDIDO",
IF(OR(Q187="",T187="",W187=""),"INDETERMINADO",IF(MAX(R187,U187,X187)&lt;=5,"APROVADO","REPROVADO")))</f>
        <v>INDETERMINADO</v>
      </c>
    </row>
    <row r="188" spans="1:25" x14ac:dyDescent="0.25">
      <c r="A188" s="72">
        <v>37334451</v>
      </c>
      <c r="B188" s="73" t="s">
        <v>216</v>
      </c>
      <c r="C188" s="74">
        <v>44232</v>
      </c>
      <c r="D188" s="75">
        <f>EDATE(C188,12)</f>
        <v>44597</v>
      </c>
      <c r="E188" s="48">
        <v>279987</v>
      </c>
      <c r="F188" s="76">
        <v>0.15</v>
      </c>
      <c r="G188" s="83"/>
      <c r="H188" s="78">
        <f>ABS(G188)+F188</f>
        <v>0.15</v>
      </c>
      <c r="I188" s="83"/>
      <c r="J188" s="78">
        <f>ABS(I188)+F188</f>
        <v>0.15</v>
      </c>
      <c r="K188" s="83"/>
      <c r="L188" s="78">
        <f>ABS(K188)+F188</f>
        <v>0.15</v>
      </c>
      <c r="M188" s="83"/>
      <c r="N188" s="79">
        <f>ABS(M188)+F188</f>
        <v>0.15</v>
      </c>
      <c r="O188" s="53" t="str">
        <f>IF(OR(INDEX([1]Relação_Calibrações_Localização!$F$8:$F$259,MATCH(B188,[1]Relação_Calibrações_Localização!$B$8:$B$259,0))="PERDIDO",INDEX([1]Relação_Calibrações_Localização!F109:F359,MATCH(B188,[1]Relação_Calibrações_Localização!$B$8:$B$259,0))="NÃO LOCALIZADO"),"PERDIDO",
IF(OR(G188="",I188="",K188="",M188=""),"INDETERMINADO",IF(MAX(H188,J188,L188,N188)&lt;=0.5,"APROVADO","REPROVADO")))</f>
        <v>INDETERMINADO</v>
      </c>
      <c r="P188" s="80">
        <v>0.4</v>
      </c>
      <c r="Q188" s="83"/>
      <c r="R188" s="79">
        <f>ABS(Q188)+P188</f>
        <v>0.4</v>
      </c>
      <c r="S188" s="81">
        <v>1</v>
      </c>
      <c r="T188" s="83"/>
      <c r="U188" s="79">
        <f>ABS(T188)+S188</f>
        <v>1</v>
      </c>
      <c r="V188" s="80">
        <v>1.5</v>
      </c>
      <c r="W188" s="83"/>
      <c r="X188" s="79">
        <f>ABS(W188)+V188</f>
        <v>1.5</v>
      </c>
      <c r="Y188" s="82" t="str">
        <f>IF(OR(INDEX([1]Relação_Calibrações_Localização!$F$8:$F$259,MATCH(B188,[1]Relação_Calibrações_Localização!$B$8:$B$259,0))="PERDIDO",INDEX([1]Relação_Calibrações_Localização!F109:F359,MATCH(B188,[1]Relação_Calibrações_Localização!$B$8:$B$259,0))="NÃO LOCALIZADO"),"PERDIDO",
IF(OR(Q188="",T188="",W188=""),"INDETERMINADO",IF(MAX(R188,U188,X188)&lt;=5,"APROVADO","REPROVADO")))</f>
        <v>INDETERMINADO</v>
      </c>
    </row>
    <row r="189" spans="1:25" x14ac:dyDescent="0.25">
      <c r="A189" s="72">
        <v>37334452</v>
      </c>
      <c r="B189" s="73" t="s">
        <v>217</v>
      </c>
      <c r="C189" s="74">
        <v>44229</v>
      </c>
      <c r="D189" s="75">
        <f>EDATE(C189,12)</f>
        <v>44594</v>
      </c>
      <c r="E189" s="48">
        <v>279316</v>
      </c>
      <c r="F189" s="76">
        <v>0.15</v>
      </c>
      <c r="G189" s="83"/>
      <c r="H189" s="78">
        <f>ABS(G189)+F189</f>
        <v>0.15</v>
      </c>
      <c r="I189" s="83"/>
      <c r="J189" s="78">
        <f>ABS(I189)+F189</f>
        <v>0.15</v>
      </c>
      <c r="K189" s="83"/>
      <c r="L189" s="78">
        <f>ABS(K189)+F189</f>
        <v>0.15</v>
      </c>
      <c r="M189" s="83"/>
      <c r="N189" s="79">
        <f>ABS(M189)+F189</f>
        <v>0.15</v>
      </c>
      <c r="O189" s="53" t="str">
        <f>IF(OR(INDEX([1]Relação_Calibrações_Localização!$F$8:$F$259,MATCH(B189,[1]Relação_Calibrações_Localização!$B$8:$B$259,0))="PERDIDO",INDEX([1]Relação_Calibrações_Localização!F110:F360,MATCH(B189,[1]Relação_Calibrações_Localização!$B$8:$B$259,0))="NÃO LOCALIZADO"),"PERDIDO",
IF(OR(G189="",I189="",K189="",M189=""),"INDETERMINADO",IF(MAX(H189,J189,L189,N189)&lt;=0.5,"APROVADO","REPROVADO")))</f>
        <v>INDETERMINADO</v>
      </c>
      <c r="P189" s="80">
        <v>0.4</v>
      </c>
      <c r="Q189" s="83"/>
      <c r="R189" s="79">
        <f>ABS(Q189)+P189</f>
        <v>0.4</v>
      </c>
      <c r="S189" s="81">
        <v>1</v>
      </c>
      <c r="T189" s="83"/>
      <c r="U189" s="79">
        <f>ABS(T189)+S189</f>
        <v>1</v>
      </c>
      <c r="V189" s="80">
        <v>1.5</v>
      </c>
      <c r="W189" s="83"/>
      <c r="X189" s="79">
        <f>ABS(W189)+V189</f>
        <v>1.5</v>
      </c>
      <c r="Y189" s="82" t="str">
        <f>IF(OR(INDEX([1]Relação_Calibrações_Localização!$F$8:$F$259,MATCH(B189,[1]Relação_Calibrações_Localização!$B$8:$B$259,0))="PERDIDO",INDEX([1]Relação_Calibrações_Localização!F110:F360,MATCH(B189,[1]Relação_Calibrações_Localização!$B$8:$B$259,0))="NÃO LOCALIZADO"),"PERDIDO",
IF(OR(Q189="",T189="",W189=""),"INDETERMINADO",IF(MAX(R189,U189,X189)&lt;=5,"APROVADO","REPROVADO")))</f>
        <v>INDETERMINADO</v>
      </c>
    </row>
    <row r="190" spans="1:25" x14ac:dyDescent="0.25">
      <c r="A190" s="72">
        <v>37334456</v>
      </c>
      <c r="B190" s="73" t="s">
        <v>218</v>
      </c>
      <c r="C190" s="74">
        <v>45523</v>
      </c>
      <c r="D190" s="75">
        <v>45888</v>
      </c>
      <c r="E190" s="48">
        <v>454923</v>
      </c>
      <c r="F190" s="76">
        <v>0.2</v>
      </c>
      <c r="G190" s="83">
        <v>-0.01</v>
      </c>
      <c r="H190" s="78">
        <v>0.21000000000000002</v>
      </c>
      <c r="I190" s="83">
        <v>0.09</v>
      </c>
      <c r="J190" s="78">
        <v>0.29000000000000004</v>
      </c>
      <c r="K190" s="83">
        <v>0.09</v>
      </c>
      <c r="L190" s="78">
        <v>0.29000000000000004</v>
      </c>
      <c r="M190" s="83">
        <v>0.09</v>
      </c>
      <c r="N190" s="79">
        <v>0.29000000000000004</v>
      </c>
      <c r="O190" s="53" t="str">
        <f>IF(OR(INDEX([1]Relação_Calibrações_Localização!$F$8:$F$259,MATCH(B190,[1]Relação_Calibrações_Localização!$B$8:$B$259,0))="PERDIDO",INDEX([1]Relação_Calibrações_Localização!F111:F361,MATCH(B190,[1]Relação_Calibrações_Localização!$B$8:$B$259,0))="NÃO LOCALIZADO"),"PERDIDO",
IF(OR(G190="",I190="",K190="",M190=""),"INDETERMINADO",IF(MAX(H190,J190,L190,N190)&lt;=0.5,"APROVADO","REPROVADO")))</f>
        <v>APROVADO</v>
      </c>
      <c r="P190" s="80">
        <v>0.4</v>
      </c>
      <c r="Q190" s="83">
        <v>3.5</v>
      </c>
      <c r="R190" s="79">
        <v>3.9</v>
      </c>
      <c r="S190" s="81">
        <v>1</v>
      </c>
      <c r="T190" s="83">
        <v>0.3</v>
      </c>
      <c r="U190" s="79">
        <v>1.3</v>
      </c>
      <c r="V190" s="80">
        <v>1.5</v>
      </c>
      <c r="W190" s="83">
        <v>-3.5</v>
      </c>
      <c r="X190" s="79">
        <v>5</v>
      </c>
      <c r="Y190" s="82" t="str">
        <f>IF(OR(INDEX([1]Relação_Calibrações_Localização!$F$8:$F$259,MATCH(B190,[1]Relação_Calibrações_Localização!$B$8:$B$259,0))="PERDIDO",INDEX([1]Relação_Calibrações_Localização!F111:F361,MATCH(B190,[1]Relação_Calibrações_Localização!$B$8:$B$259,0))="NÃO LOCALIZADO"),"PERDIDO",
IF(OR(Q190="",T190="",W190=""),"INDETERMINADO",IF(MAX(R190,U190,X190)&lt;=5,"APROVADO","REPROVADO")))</f>
        <v>APROVADO</v>
      </c>
    </row>
    <row r="191" spans="1:25" x14ac:dyDescent="0.25">
      <c r="A191" s="72">
        <v>37334464</v>
      </c>
      <c r="B191" s="73" t="s">
        <v>219</v>
      </c>
      <c r="C191" s="74">
        <v>45523</v>
      </c>
      <c r="D191" s="75">
        <v>45888</v>
      </c>
      <c r="E191" s="48">
        <v>454956</v>
      </c>
      <c r="F191" s="76">
        <v>0.2</v>
      </c>
      <c r="G191" s="83">
        <v>-0.11</v>
      </c>
      <c r="H191" s="78">
        <v>0.31</v>
      </c>
      <c r="I191" s="83">
        <v>-0.01</v>
      </c>
      <c r="J191" s="78">
        <v>0.21000000000000002</v>
      </c>
      <c r="K191" s="83">
        <v>0.09</v>
      </c>
      <c r="L191" s="78">
        <v>0.29000000000000004</v>
      </c>
      <c r="M191" s="83">
        <v>0.09</v>
      </c>
      <c r="N191" s="79">
        <v>0.29000000000000004</v>
      </c>
      <c r="O191" s="53" t="str">
        <f>IF(OR(INDEX([1]Relação_Calibrações_Localização!$F$8:$F$259,MATCH(B191,[1]Relação_Calibrações_Localização!$B$8:$B$259,0))="PERDIDO",INDEX([1]Relação_Calibrações_Localização!F113:F363,MATCH(B191,[1]Relação_Calibrações_Localização!$B$8:$B$259,0))="NÃO LOCALIZADO"),"PERDIDO",
IF(OR(G191="",I191="",K191="",M191=""),"INDETERMINADO",IF(MAX(H191,J191,L191,N191)&lt;=0.5,"APROVADO","REPROVADO")))</f>
        <v>APROVADO</v>
      </c>
      <c r="P191" s="80">
        <v>0.4</v>
      </c>
      <c r="Q191" s="83">
        <v>3.5</v>
      </c>
      <c r="R191" s="79">
        <v>3.9</v>
      </c>
      <c r="S191" s="81">
        <v>1</v>
      </c>
      <c r="T191" s="83">
        <v>1.6</v>
      </c>
      <c r="U191" s="79">
        <v>2.6</v>
      </c>
      <c r="V191" s="80">
        <v>1.5</v>
      </c>
      <c r="W191" s="83">
        <v>-3.5</v>
      </c>
      <c r="X191" s="79">
        <v>5</v>
      </c>
      <c r="Y191" s="82" t="str">
        <f>IF(OR(INDEX([1]Relação_Calibrações_Localização!$F$8:$F$259,MATCH(B191,[1]Relação_Calibrações_Localização!$B$8:$B$259,0))="PERDIDO",INDEX([1]Relação_Calibrações_Localização!F113:F363,MATCH(B191,[1]Relação_Calibrações_Localização!$B$8:$B$259,0))="NÃO LOCALIZADO"),"PERDIDO",
IF(OR(Q191="",T191="",W191=""),"INDETERMINADO",IF(MAX(R191,U191,X191)&lt;=5,"APROVADO","REPROVADO")))</f>
        <v>APROVADO</v>
      </c>
    </row>
    <row r="192" spans="1:25" x14ac:dyDescent="0.25">
      <c r="A192" s="72">
        <v>37334483</v>
      </c>
      <c r="B192" s="73" t="s">
        <v>220</v>
      </c>
      <c r="C192" s="74">
        <v>44252</v>
      </c>
      <c r="D192" s="75">
        <f>EDATE(C192,12)</f>
        <v>44617</v>
      </c>
      <c r="E192" s="48">
        <v>282287</v>
      </c>
      <c r="F192" s="76">
        <v>0.15</v>
      </c>
      <c r="G192" s="83"/>
      <c r="H192" s="78">
        <f>ABS(G192)+F192</f>
        <v>0.15</v>
      </c>
      <c r="I192" s="83"/>
      <c r="J192" s="78">
        <f>ABS(I192)+F192</f>
        <v>0.15</v>
      </c>
      <c r="K192" s="83"/>
      <c r="L192" s="78">
        <f>ABS(K192)+F192</f>
        <v>0.15</v>
      </c>
      <c r="M192" s="83"/>
      <c r="N192" s="79">
        <f>ABS(M192)+F192</f>
        <v>0.15</v>
      </c>
      <c r="O192" s="53" t="str">
        <f>IF(OR(INDEX([1]Relação_Calibrações_Localização!$F$8:$F$259,MATCH(B192,[1]Relação_Calibrações_Localização!$B$8:$B$259,0))="PERDIDO",INDEX([1]Relação_Calibrações_Localização!F114:F364,MATCH(B192,[1]Relação_Calibrações_Localização!$B$8:$B$259,0))="NÃO LOCALIZADO"),"PERDIDO",
IF(OR(G192="",I192="",K192="",M192=""),"INDETERMINADO",IF(MAX(H192,J192,L192,N192)&lt;=0.5,"APROVADO","REPROVADO")))</f>
        <v>INDETERMINADO</v>
      </c>
      <c r="P192" s="80">
        <v>0.4</v>
      </c>
      <c r="Q192" s="83"/>
      <c r="R192" s="79">
        <f>ABS(Q192)+P192</f>
        <v>0.4</v>
      </c>
      <c r="S192" s="81">
        <v>1</v>
      </c>
      <c r="T192" s="83"/>
      <c r="U192" s="79">
        <f>ABS(T192)+S192</f>
        <v>1</v>
      </c>
      <c r="V192" s="80">
        <v>1.5</v>
      </c>
      <c r="W192" s="83"/>
      <c r="X192" s="79">
        <f>ABS(W192)+V192</f>
        <v>1.5</v>
      </c>
      <c r="Y192" s="82" t="str">
        <f>IF(OR(INDEX([1]Relação_Calibrações_Localização!$F$8:$F$259,MATCH(B192,[1]Relação_Calibrações_Localização!$B$8:$B$259,0))="PERDIDO",INDEX([1]Relação_Calibrações_Localização!F114:F364,MATCH(B192,[1]Relação_Calibrações_Localização!$B$8:$B$259,0))="NÃO LOCALIZADO"),"PERDIDO",
IF(OR(Q192="",T192="",W192=""),"INDETERMINADO",IF(MAX(R192,U192,X192)&lt;=5,"APROVADO","REPROVADO")))</f>
        <v>INDETERMINADO</v>
      </c>
    </row>
    <row r="193" spans="1:25" x14ac:dyDescent="0.25">
      <c r="A193" s="72">
        <v>37334488</v>
      </c>
      <c r="B193" s="73" t="s">
        <v>221</v>
      </c>
      <c r="C193" s="74">
        <v>45523</v>
      </c>
      <c r="D193" s="75">
        <v>45888</v>
      </c>
      <c r="E193" s="48">
        <v>454957</v>
      </c>
      <c r="F193" s="76">
        <v>0.2</v>
      </c>
      <c r="G193" s="83">
        <v>-0.01</v>
      </c>
      <c r="H193" s="78">
        <v>0.21000000000000002</v>
      </c>
      <c r="I193" s="83">
        <v>-0.01</v>
      </c>
      <c r="J193" s="78">
        <v>0.21000000000000002</v>
      </c>
      <c r="K193" s="83">
        <v>0.09</v>
      </c>
      <c r="L193" s="78">
        <v>0.29000000000000004</v>
      </c>
      <c r="M193" s="83">
        <v>0.09</v>
      </c>
      <c r="N193" s="79">
        <v>0.29000000000000004</v>
      </c>
      <c r="O193" s="53" t="str">
        <f>IF(OR(INDEX([1]Relação_Calibrações_Localização!$F$8:$F$259,MATCH(B193,[1]Relação_Calibrações_Localização!$B$8:$B$259,0))="PERDIDO",INDEX([1]Relação_Calibrações_Localização!F115:F365,MATCH(B193,[1]Relação_Calibrações_Localização!$B$8:$B$259,0))="NÃO LOCALIZADO"),"PERDIDO",
IF(OR(G193="",I193="",K193="",M193=""),"INDETERMINADO",IF(MAX(H193,J193,L193,N193)&lt;=0.5,"APROVADO","REPROVADO")))</f>
        <v>APROVADO</v>
      </c>
      <c r="P193" s="80">
        <v>0.4</v>
      </c>
      <c r="Q193" s="83">
        <v>3.5</v>
      </c>
      <c r="R193" s="79">
        <v>3.9</v>
      </c>
      <c r="S193" s="81">
        <v>1</v>
      </c>
      <c r="T193" s="83">
        <v>1</v>
      </c>
      <c r="U193" s="79">
        <v>2</v>
      </c>
      <c r="V193" s="80">
        <v>1.5</v>
      </c>
      <c r="W193" s="83">
        <v>-3.5</v>
      </c>
      <c r="X193" s="79">
        <v>5</v>
      </c>
      <c r="Y193" s="82" t="str">
        <f>IF(OR(INDEX([1]Relação_Calibrações_Localização!$F$8:$F$259,MATCH(B193,[1]Relação_Calibrações_Localização!$B$8:$B$259,0))="PERDIDO",INDEX([1]Relação_Calibrações_Localização!F115:F365,MATCH(B193,[1]Relação_Calibrações_Localização!$B$8:$B$259,0))="NÃO LOCALIZADO"),"PERDIDO",
IF(OR(Q193="",T193="",W193=""),"INDETERMINADO",IF(MAX(R193,U193,X193)&lt;=5,"APROVADO","REPROVADO")))</f>
        <v>APROVADO</v>
      </c>
    </row>
    <row r="194" spans="1:25" x14ac:dyDescent="0.25">
      <c r="A194" s="72">
        <v>37334825</v>
      </c>
      <c r="B194" s="73" t="s">
        <v>222</v>
      </c>
      <c r="C194" s="74">
        <v>45523</v>
      </c>
      <c r="D194" s="75">
        <v>45888</v>
      </c>
      <c r="E194" s="48">
        <v>454958</v>
      </c>
      <c r="F194" s="76">
        <v>0.2</v>
      </c>
      <c r="G194" s="83">
        <v>0.09</v>
      </c>
      <c r="H194" s="78">
        <v>0.29000000000000004</v>
      </c>
      <c r="I194" s="83">
        <v>0.09</v>
      </c>
      <c r="J194" s="78">
        <v>0.29000000000000004</v>
      </c>
      <c r="K194" s="83">
        <v>0.09</v>
      </c>
      <c r="L194" s="78">
        <v>0.29000000000000004</v>
      </c>
      <c r="M194" s="83">
        <v>0.09</v>
      </c>
      <c r="N194" s="79">
        <v>0.29000000000000004</v>
      </c>
      <c r="O194" s="53" t="str">
        <f>IF(OR(INDEX([1]Relação_Calibrações_Localização!$F$8:$F$259,MATCH(B194,[1]Relação_Calibrações_Localização!$B$8:$B$259,0))="PERDIDO",INDEX([1]Relação_Calibrações_Localização!F122:F372,MATCH(B194,[1]Relação_Calibrações_Localização!$B$8:$B$259,0))="NÃO LOCALIZADO"),"PERDIDO",
IF(OR(G194="",I194="",K194="",M194=""),"INDETERMINADO",IF(MAX(H194,J194,L194,N194)&lt;=0.5,"APROVADO","REPROVADO")))</f>
        <v>APROVADO</v>
      </c>
      <c r="P194" s="80">
        <v>0.4</v>
      </c>
      <c r="Q194" s="83">
        <v>3.5</v>
      </c>
      <c r="R194" s="79">
        <v>3.9</v>
      </c>
      <c r="S194" s="81">
        <v>1</v>
      </c>
      <c r="T194" s="83">
        <v>1.9</v>
      </c>
      <c r="U194" s="79">
        <v>2.9</v>
      </c>
      <c r="V194" s="80">
        <v>1.5</v>
      </c>
      <c r="W194" s="83">
        <v>-3.2</v>
      </c>
      <c r="X194" s="79">
        <v>4.7</v>
      </c>
      <c r="Y194" s="82" t="str">
        <f>IF(OR(INDEX([1]Relação_Calibrações_Localização!$F$8:$F$259,MATCH(B194,[1]Relação_Calibrações_Localização!$B$8:$B$259,0))="PERDIDO",INDEX([1]Relação_Calibrações_Localização!F122:F372,MATCH(B194,[1]Relação_Calibrações_Localização!$B$8:$B$259,0))="NÃO LOCALIZADO"),"PERDIDO",
IF(OR(Q194="",T194="",W194=""),"INDETERMINADO",IF(MAX(R194,U194,X194)&lt;=5,"APROVADO","REPROVADO")))</f>
        <v>APROVADO</v>
      </c>
    </row>
    <row r="195" spans="1:25" x14ac:dyDescent="0.25">
      <c r="A195" s="72">
        <v>37334827</v>
      </c>
      <c r="B195" s="73" t="s">
        <v>223</v>
      </c>
      <c r="C195" s="74">
        <v>45523</v>
      </c>
      <c r="D195" s="75">
        <v>45888</v>
      </c>
      <c r="E195" s="48">
        <v>454904</v>
      </c>
      <c r="F195" s="76">
        <v>0.2</v>
      </c>
      <c r="G195" s="83">
        <v>-0.01</v>
      </c>
      <c r="H195" s="78">
        <v>0.21000000000000002</v>
      </c>
      <c r="I195" s="83">
        <v>-0.01</v>
      </c>
      <c r="J195" s="78">
        <v>0.21000000000000002</v>
      </c>
      <c r="K195" s="83">
        <v>-0.01</v>
      </c>
      <c r="L195" s="78">
        <v>0.21000000000000002</v>
      </c>
      <c r="M195" s="83">
        <v>-0.01</v>
      </c>
      <c r="N195" s="79">
        <v>0.21000000000000002</v>
      </c>
      <c r="O195" s="53" t="str">
        <f>IF(OR(INDEX([1]Relação_Calibrações_Localização!$F$8:$F$259,MATCH(B195,[1]Relação_Calibrações_Localização!$B$8:$B$259,0))="PERDIDO",INDEX([1]Relação_Calibrações_Localização!F123:F373,MATCH(B195,[1]Relação_Calibrações_Localização!$B$8:$B$259,0))="NÃO LOCALIZADO"),"PERDIDO",
IF(OR(G195="",I195="",K195="",M195=""),"INDETERMINADO",IF(MAX(H195,J195,L195,N195)&lt;=0.5,"APROVADO","REPROVADO")))</f>
        <v>APROVADO</v>
      </c>
      <c r="P195" s="80">
        <v>0.4</v>
      </c>
      <c r="Q195" s="83">
        <v>3.4</v>
      </c>
      <c r="R195" s="79">
        <v>3.8</v>
      </c>
      <c r="S195" s="81">
        <v>1</v>
      </c>
      <c r="T195" s="83">
        <v>1.3</v>
      </c>
      <c r="U195" s="79">
        <v>2.2999999999999998</v>
      </c>
      <c r="V195" s="80">
        <v>1.5</v>
      </c>
      <c r="W195" s="83">
        <v>-3.5</v>
      </c>
      <c r="X195" s="79">
        <v>5</v>
      </c>
      <c r="Y195" s="82" t="str">
        <f>IF(OR(INDEX([1]Relação_Calibrações_Localização!$F$8:$F$259,MATCH(B195,[1]Relação_Calibrações_Localização!$B$8:$B$259,0))="PERDIDO",INDEX([1]Relação_Calibrações_Localização!F123:F373,MATCH(B195,[1]Relação_Calibrações_Localização!$B$8:$B$259,0))="NÃO LOCALIZADO"),"PERDIDO",
IF(OR(Q195="",T195="",W195=""),"INDETERMINADO",IF(MAX(R195,U195,X195)&lt;=5,"APROVADO","REPROVADO")))</f>
        <v>APROVADO</v>
      </c>
    </row>
    <row r="196" spans="1:25" x14ac:dyDescent="0.25">
      <c r="A196" s="72">
        <v>37334834</v>
      </c>
      <c r="B196" s="73" t="s">
        <v>224</v>
      </c>
      <c r="C196" s="74">
        <v>45523</v>
      </c>
      <c r="D196" s="75">
        <v>45888</v>
      </c>
      <c r="E196" s="48">
        <v>454909</v>
      </c>
      <c r="F196" s="76">
        <v>0.2</v>
      </c>
      <c r="G196" s="83">
        <v>0.09</v>
      </c>
      <c r="H196" s="78">
        <v>0.29000000000000004</v>
      </c>
      <c r="I196" s="83">
        <v>0.09</v>
      </c>
      <c r="J196" s="78">
        <v>0.29000000000000004</v>
      </c>
      <c r="K196" s="83">
        <v>0.09</v>
      </c>
      <c r="L196" s="78">
        <v>0.29000000000000004</v>
      </c>
      <c r="M196" s="83">
        <v>0.19</v>
      </c>
      <c r="N196" s="79">
        <v>0.39</v>
      </c>
      <c r="O196" s="53" t="str">
        <f>IF(OR(INDEX([1]Relação_Calibrações_Localização!$F$8:$F$259,MATCH(B196,[1]Relação_Calibrações_Localização!$B$8:$B$259,0))="PERDIDO",INDEX([1]Relação_Calibrações_Localização!F124:F374,MATCH(B196,[1]Relação_Calibrações_Localização!$B$8:$B$259,0))="NÃO LOCALIZADO"),"PERDIDO",
IF(OR(G196="",I196="",K196="",M196=""),"INDETERMINADO",IF(MAX(H196,J196,L196,N196)&lt;=0.5,"APROVADO","REPROVADO")))</f>
        <v>APROVADO</v>
      </c>
      <c r="P196" s="80">
        <v>0.4</v>
      </c>
      <c r="Q196" s="83">
        <v>3.4</v>
      </c>
      <c r="R196" s="79">
        <v>3.8</v>
      </c>
      <c r="S196" s="81">
        <v>1</v>
      </c>
      <c r="T196" s="83">
        <v>1.2</v>
      </c>
      <c r="U196" s="79">
        <v>2.2000000000000002</v>
      </c>
      <c r="V196" s="80">
        <v>1.5</v>
      </c>
      <c r="W196" s="83">
        <v>-3.4</v>
      </c>
      <c r="X196" s="79">
        <v>4.9000000000000004</v>
      </c>
      <c r="Y196" s="82" t="str">
        <f>IF(OR(INDEX([1]Relação_Calibrações_Localização!$F$8:$F$259,MATCH(B196,[1]Relação_Calibrações_Localização!$B$8:$B$259,0))="PERDIDO",INDEX([1]Relação_Calibrações_Localização!F124:F374,MATCH(B196,[1]Relação_Calibrações_Localização!$B$8:$B$259,0))="NÃO LOCALIZADO"),"PERDIDO",
IF(OR(Q196="",T196="",W196=""),"INDETERMINADO",IF(MAX(R196,U196,X196)&lt;=5,"APROVADO","REPROVADO")))</f>
        <v>APROVADO</v>
      </c>
    </row>
    <row r="197" spans="1:25" x14ac:dyDescent="0.25">
      <c r="A197" s="72">
        <v>37334835</v>
      </c>
      <c r="B197" s="73" t="s">
        <v>225</v>
      </c>
      <c r="C197" s="74">
        <v>45523</v>
      </c>
      <c r="D197" s="75">
        <v>45888</v>
      </c>
      <c r="E197" s="48">
        <v>454959</v>
      </c>
      <c r="F197" s="76">
        <v>0.2</v>
      </c>
      <c r="G197" s="83">
        <v>0.09</v>
      </c>
      <c r="H197" s="78">
        <v>0.29000000000000004</v>
      </c>
      <c r="I197" s="83">
        <v>0.09</v>
      </c>
      <c r="J197" s="78">
        <v>0.29000000000000004</v>
      </c>
      <c r="K197" s="83">
        <v>0.09</v>
      </c>
      <c r="L197" s="78">
        <v>0.29000000000000004</v>
      </c>
      <c r="M197" s="83">
        <v>0.09</v>
      </c>
      <c r="N197" s="79">
        <v>0.29000000000000004</v>
      </c>
      <c r="O197" s="53" t="str">
        <f>IF(OR(INDEX([1]Relação_Calibrações_Localização!$F$8:$F$259,MATCH(B197,[1]Relação_Calibrações_Localização!$B$8:$B$259,0))="PERDIDO",INDEX([1]Relação_Calibrações_Localização!F125:F375,MATCH(B197,[1]Relação_Calibrações_Localização!$B$8:$B$259,0))="NÃO LOCALIZADO"),"PERDIDO",
IF(OR(G197="",I197="",K197="",M197=""),"INDETERMINADO",IF(MAX(H197,J197,L197,N197)&lt;=0.5,"APROVADO","REPROVADO")))</f>
        <v>APROVADO</v>
      </c>
      <c r="P197" s="80">
        <v>0.4</v>
      </c>
      <c r="Q197" s="83">
        <v>3.3</v>
      </c>
      <c r="R197" s="79">
        <v>3.6999999999999997</v>
      </c>
      <c r="S197" s="81">
        <v>1</v>
      </c>
      <c r="T197" s="83">
        <v>0.2</v>
      </c>
      <c r="U197" s="79">
        <v>1.2</v>
      </c>
      <c r="V197" s="80">
        <v>1.5</v>
      </c>
      <c r="W197" s="83">
        <v>-3.5</v>
      </c>
      <c r="X197" s="79">
        <v>5</v>
      </c>
      <c r="Y197" s="82" t="str">
        <f>IF(OR(INDEX([1]Relação_Calibrações_Localização!$F$8:$F$259,MATCH(B197,[1]Relação_Calibrações_Localização!$B$8:$B$259,0))="PERDIDO",INDEX([1]Relação_Calibrações_Localização!F125:F375,MATCH(B197,[1]Relação_Calibrações_Localização!$B$8:$B$259,0))="NÃO LOCALIZADO"),"PERDIDO",
IF(OR(Q197="",T197="",W197=""),"INDETERMINADO",IF(MAX(R197,U197,X197)&lt;=5,"APROVADO","REPROVADO")))</f>
        <v>APROVADO</v>
      </c>
    </row>
    <row r="198" spans="1:25" x14ac:dyDescent="0.25">
      <c r="A198" s="72">
        <v>37334923</v>
      </c>
      <c r="B198" s="73" t="s">
        <v>226</v>
      </c>
      <c r="C198" s="74">
        <v>45523</v>
      </c>
      <c r="D198" s="75">
        <v>45888</v>
      </c>
      <c r="E198" s="48">
        <v>454920</v>
      </c>
      <c r="F198" s="76">
        <v>0.2</v>
      </c>
      <c r="G198" s="83">
        <v>-0.01</v>
      </c>
      <c r="H198" s="78">
        <v>0.21000000000000002</v>
      </c>
      <c r="I198" s="83">
        <v>-0.01</v>
      </c>
      <c r="J198" s="78">
        <v>0.21000000000000002</v>
      </c>
      <c r="K198" s="83">
        <v>-0.01</v>
      </c>
      <c r="L198" s="78">
        <v>0.21000000000000002</v>
      </c>
      <c r="M198" s="83">
        <v>-0.01</v>
      </c>
      <c r="N198" s="79">
        <v>0.21000000000000002</v>
      </c>
      <c r="O198" s="53" t="str">
        <f>IF(OR(INDEX([1]Relação_Calibrações_Localização!$F$8:$F$259,MATCH(B198,[1]Relação_Calibrações_Localização!$B$8:$B$259,0))="PERDIDO",INDEX([1]Relação_Calibrações_Localização!F132:F382,MATCH(B198,[1]Relação_Calibrações_Localização!$B$8:$B$259,0))="NÃO LOCALIZADO"),"PERDIDO",
IF(OR(G198="",I198="",K198="",M198=""),"INDETERMINADO",IF(MAX(H198,J198,L198,N198)&lt;=0.5,"APROVADO","REPROVADO")))</f>
        <v>APROVADO</v>
      </c>
      <c r="P198" s="80">
        <v>0.4</v>
      </c>
      <c r="Q198" s="83">
        <v>3.5</v>
      </c>
      <c r="R198" s="79">
        <v>3.9</v>
      </c>
      <c r="S198" s="81">
        <v>1</v>
      </c>
      <c r="T198" s="83">
        <v>1.5</v>
      </c>
      <c r="U198" s="79">
        <v>2.5</v>
      </c>
      <c r="V198" s="80">
        <v>1.5</v>
      </c>
      <c r="W198" s="83">
        <v>-3.3</v>
      </c>
      <c r="X198" s="79">
        <v>4.8</v>
      </c>
      <c r="Y198" s="82" t="str">
        <f>IF(OR(INDEX([1]Relação_Calibrações_Localização!$F$8:$F$259,MATCH(B198,[1]Relação_Calibrações_Localização!$B$8:$B$259,0))="PERDIDO",INDEX([1]Relação_Calibrações_Localização!F132:F382,MATCH(B198,[1]Relação_Calibrações_Localização!$B$8:$B$259,0))="NÃO LOCALIZADO"),"PERDIDO",
IF(OR(Q198="",T198="",W198=""),"INDETERMINADO",IF(MAX(R198,U198,X198)&lt;=5,"APROVADO","REPROVADO")))</f>
        <v>APROVADO</v>
      </c>
    </row>
    <row r="199" spans="1:25" x14ac:dyDescent="0.25">
      <c r="A199" s="72">
        <v>37335293</v>
      </c>
      <c r="B199" s="73" t="s">
        <v>227</v>
      </c>
      <c r="C199" s="74">
        <v>45523</v>
      </c>
      <c r="D199" s="75">
        <v>45888</v>
      </c>
      <c r="E199" s="48">
        <v>454917</v>
      </c>
      <c r="F199" s="76">
        <v>0.2</v>
      </c>
      <c r="G199" s="83">
        <v>-0.01</v>
      </c>
      <c r="H199" s="78">
        <v>0.21000000000000002</v>
      </c>
      <c r="I199" s="83">
        <v>-0.01</v>
      </c>
      <c r="J199" s="78">
        <v>0.21000000000000002</v>
      </c>
      <c r="K199" s="83">
        <v>-0.01</v>
      </c>
      <c r="L199" s="78">
        <v>0.21000000000000002</v>
      </c>
      <c r="M199" s="83">
        <v>-0.01</v>
      </c>
      <c r="N199" s="79">
        <v>0.21000000000000002</v>
      </c>
      <c r="O199" s="53" t="str">
        <f>IF(OR(INDEX([1]Relação_Calibrações_Localização!$F$8:$F$259,MATCH(B199,[1]Relação_Calibrações_Localização!$B$8:$B$259,0))="PERDIDO",INDEX([1]Relação_Calibrações_Localização!F135:F385,MATCH(B199,[1]Relação_Calibrações_Localização!$B$8:$B$259,0))="NÃO LOCALIZADO"),"PERDIDO",
IF(OR(G199="",I199="",K199="",M199=""),"INDETERMINADO",IF(MAX(H199,J199,L199,N199)&lt;=0.5,"APROVADO","REPROVADO")))</f>
        <v>APROVADO</v>
      </c>
      <c r="P199" s="80">
        <v>0.4</v>
      </c>
      <c r="Q199" s="83">
        <v>3.5</v>
      </c>
      <c r="R199" s="79">
        <v>3.9</v>
      </c>
      <c r="S199" s="81">
        <v>1</v>
      </c>
      <c r="T199" s="83">
        <v>2</v>
      </c>
      <c r="U199" s="79">
        <v>3</v>
      </c>
      <c r="V199" s="80">
        <v>1.5</v>
      </c>
      <c r="W199" s="83">
        <v>-0.9</v>
      </c>
      <c r="X199" s="79">
        <v>2.4</v>
      </c>
      <c r="Y199" s="82" t="str">
        <f>IF(OR(INDEX([1]Relação_Calibrações_Localização!$F$8:$F$259,MATCH(B199,[1]Relação_Calibrações_Localização!$B$8:$B$259,0))="PERDIDO",INDEX([1]Relação_Calibrações_Localização!F135:F385,MATCH(B199,[1]Relação_Calibrações_Localização!$B$8:$B$259,0))="NÃO LOCALIZADO"),"PERDIDO",
IF(OR(Q199="",T199="",W199=""),"INDETERMINADO",IF(MAX(R199,U199,X199)&lt;=5,"APROVADO","REPROVADO")))</f>
        <v>APROVADO</v>
      </c>
    </row>
    <row r="200" spans="1:25" x14ac:dyDescent="0.25">
      <c r="A200" s="72">
        <v>37335322</v>
      </c>
      <c r="B200" s="73" t="s">
        <v>228</v>
      </c>
      <c r="C200" s="74">
        <v>45523</v>
      </c>
      <c r="D200" s="75">
        <v>45888</v>
      </c>
      <c r="E200" s="48">
        <v>454960</v>
      </c>
      <c r="F200" s="76">
        <v>0.2</v>
      </c>
      <c r="G200" s="83">
        <v>0.09</v>
      </c>
      <c r="H200" s="78">
        <v>0.29000000000000004</v>
      </c>
      <c r="I200" s="83">
        <v>0.09</v>
      </c>
      <c r="J200" s="78">
        <v>0.29000000000000004</v>
      </c>
      <c r="K200" s="83">
        <v>0.09</v>
      </c>
      <c r="L200" s="78">
        <v>0.29000000000000004</v>
      </c>
      <c r="M200" s="83">
        <v>0.09</v>
      </c>
      <c r="N200" s="79">
        <v>0.29000000000000004</v>
      </c>
      <c r="O200" s="53" t="str">
        <f>IF(OR(INDEX([1]Relação_Calibrações_Localização!$F$8:$F$259,MATCH(B200,[1]Relação_Calibrações_Localização!$B$8:$B$259,0))="PERDIDO",INDEX([1]Relação_Calibrações_Localização!F137:F387,MATCH(B200,[1]Relação_Calibrações_Localização!$B$8:$B$259,0))="NÃO LOCALIZADO"),"PERDIDO",
IF(OR(G200="",I200="",K200="",M200=""),"INDETERMINADO",IF(MAX(H200,J200,L200,N200)&lt;=0.5,"APROVADO","REPROVADO")))</f>
        <v>APROVADO</v>
      </c>
      <c r="P200" s="80">
        <v>0.4</v>
      </c>
      <c r="Q200" s="83">
        <v>3.5</v>
      </c>
      <c r="R200" s="79">
        <v>3.9</v>
      </c>
      <c r="S200" s="81">
        <v>1</v>
      </c>
      <c r="T200" s="83">
        <v>0.8</v>
      </c>
      <c r="U200" s="79">
        <v>1.8</v>
      </c>
      <c r="V200" s="80">
        <v>1.5</v>
      </c>
      <c r="W200" s="83">
        <v>-3.5</v>
      </c>
      <c r="X200" s="79">
        <v>5</v>
      </c>
      <c r="Y200" s="82" t="str">
        <f>IF(OR(INDEX([1]Relação_Calibrações_Localização!$F$8:$F$259,MATCH(B200,[1]Relação_Calibrações_Localização!$B$8:$B$259,0))="PERDIDO",INDEX([1]Relação_Calibrações_Localização!F137:F387,MATCH(B200,[1]Relação_Calibrações_Localização!$B$8:$B$259,0))="NÃO LOCALIZADO"),"PERDIDO",
IF(OR(Q200="",T200="",W200=""),"INDETERMINADO",IF(MAX(R200,U200,X200)&lt;=5,"APROVADO","REPROVADO")))</f>
        <v>APROVADO</v>
      </c>
    </row>
    <row r="201" spans="1:25" x14ac:dyDescent="0.25">
      <c r="A201" s="72">
        <v>37339086</v>
      </c>
      <c r="B201" s="73" t="s">
        <v>229</v>
      </c>
      <c r="C201" s="74">
        <v>45523</v>
      </c>
      <c r="D201" s="75">
        <v>45888</v>
      </c>
      <c r="E201" s="48">
        <v>454916</v>
      </c>
      <c r="F201" s="76">
        <v>0.2</v>
      </c>
      <c r="G201" s="83">
        <v>-0.01</v>
      </c>
      <c r="H201" s="78">
        <v>0.21000000000000002</v>
      </c>
      <c r="I201" s="83">
        <v>-0.01</v>
      </c>
      <c r="J201" s="78">
        <v>0.21000000000000002</v>
      </c>
      <c r="K201" s="83">
        <v>-0.01</v>
      </c>
      <c r="L201" s="78">
        <v>0.21000000000000002</v>
      </c>
      <c r="M201" s="83">
        <v>0.09</v>
      </c>
      <c r="N201" s="79">
        <v>0.29000000000000004</v>
      </c>
      <c r="O201" s="53" t="str">
        <f>IF(OR(INDEX([1]Relação_Calibrações_Localização!$F$8:$F$259,MATCH(B201,[1]Relação_Calibrações_Localização!$B$8:$B$259,0))="PERDIDO",INDEX([1]Relação_Calibrações_Localização!F141:F391,MATCH(B201,[1]Relação_Calibrações_Localização!$B$8:$B$259,0))="NÃO LOCALIZADO"),"PERDIDO",
IF(OR(G201="",I201="",K201="",M201=""),"INDETERMINADO",IF(MAX(H201,J201,L201,N201)&lt;=0.5,"APROVADO","REPROVADO")))</f>
        <v>APROVADO</v>
      </c>
      <c r="P201" s="80">
        <v>0.4</v>
      </c>
      <c r="Q201" s="83">
        <v>3.4</v>
      </c>
      <c r="R201" s="79">
        <v>3.8</v>
      </c>
      <c r="S201" s="81">
        <v>1</v>
      </c>
      <c r="T201" s="83">
        <v>0.5</v>
      </c>
      <c r="U201" s="79">
        <v>1.5</v>
      </c>
      <c r="V201" s="80">
        <v>1.5</v>
      </c>
      <c r="W201" s="83">
        <v>-3.5</v>
      </c>
      <c r="X201" s="79">
        <v>5</v>
      </c>
      <c r="Y201" s="82" t="str">
        <f>IF(OR(INDEX([1]Relação_Calibrações_Localização!$F$8:$F$259,MATCH(B201,[1]Relação_Calibrações_Localização!$B$8:$B$259,0))="PERDIDO",INDEX([1]Relação_Calibrações_Localização!F141:F391,MATCH(B201,[1]Relação_Calibrações_Localização!$B$8:$B$259,0))="NÃO LOCALIZADO"),"PERDIDO",
IF(OR(Q201="",T201="",W201=""),"INDETERMINADO",IF(MAX(R201,U201,X201)&lt;=5,"APROVADO","REPROVADO")))</f>
        <v>APROVADO</v>
      </c>
    </row>
    <row r="202" spans="1:25" x14ac:dyDescent="0.25">
      <c r="A202" s="72">
        <v>37339096</v>
      </c>
      <c r="B202" s="73" t="s">
        <v>230</v>
      </c>
      <c r="C202" s="74">
        <v>45523</v>
      </c>
      <c r="D202" s="75">
        <v>45888</v>
      </c>
      <c r="E202" s="48">
        <v>454961</v>
      </c>
      <c r="F202" s="76">
        <v>0.2</v>
      </c>
      <c r="G202" s="83">
        <v>0.09</v>
      </c>
      <c r="H202" s="78">
        <v>0.29000000000000004</v>
      </c>
      <c r="I202" s="83">
        <v>0.09</v>
      </c>
      <c r="J202" s="78">
        <v>0.29000000000000004</v>
      </c>
      <c r="K202" s="83">
        <v>0.09</v>
      </c>
      <c r="L202" s="78">
        <v>0.29000000000000004</v>
      </c>
      <c r="M202" s="83">
        <v>0.09</v>
      </c>
      <c r="N202" s="79">
        <v>0.29000000000000004</v>
      </c>
      <c r="O202" s="53" t="str">
        <f>IF(OR(INDEX([1]Relação_Calibrações_Localização!$F$8:$F$259,MATCH(B202,[1]Relação_Calibrações_Localização!$B$8:$B$259,0))="PERDIDO",INDEX([1]Relação_Calibrações_Localização!F144:F394,MATCH(B202,[1]Relação_Calibrações_Localização!$B$8:$B$259,0))="NÃO LOCALIZADO"),"PERDIDO",
IF(OR(G202="",I202="",K202="",M202=""),"INDETERMINADO",IF(MAX(H202,J202,L202,N202)&lt;=0.5,"APROVADO","REPROVADO")))</f>
        <v>APROVADO</v>
      </c>
      <c r="P202" s="80">
        <v>0.4</v>
      </c>
      <c r="Q202" s="83">
        <v>3.5</v>
      </c>
      <c r="R202" s="79">
        <v>3.9</v>
      </c>
      <c r="S202" s="81">
        <v>1</v>
      </c>
      <c r="T202" s="83">
        <v>1.5</v>
      </c>
      <c r="U202" s="79">
        <v>2.5</v>
      </c>
      <c r="V202" s="80">
        <v>1.5</v>
      </c>
      <c r="W202" s="83">
        <v>-2</v>
      </c>
      <c r="X202" s="79">
        <v>3.5</v>
      </c>
      <c r="Y202" s="82" t="str">
        <f>IF(OR(INDEX([1]Relação_Calibrações_Localização!$F$8:$F$259,MATCH(B202,[1]Relação_Calibrações_Localização!$B$8:$B$259,0))="PERDIDO",INDEX([1]Relação_Calibrações_Localização!F144:F394,MATCH(B202,[1]Relação_Calibrações_Localização!$B$8:$B$259,0))="NÃO LOCALIZADO"),"PERDIDO",
IF(OR(Q202="",T202="",W202=""),"INDETERMINADO",IF(MAX(R202,U202,X202)&lt;=5,"APROVADO","REPROVADO")))</f>
        <v>APROVADO</v>
      </c>
    </row>
    <row r="203" spans="1:25" x14ac:dyDescent="0.25">
      <c r="A203" s="72">
        <v>37339101</v>
      </c>
      <c r="B203" s="73" t="s">
        <v>231</v>
      </c>
      <c r="C203" s="74">
        <v>45523</v>
      </c>
      <c r="D203" s="75">
        <v>45888</v>
      </c>
      <c r="E203" s="48">
        <v>454962</v>
      </c>
      <c r="F203" s="76">
        <v>0.2</v>
      </c>
      <c r="G203" s="83">
        <v>-0.01</v>
      </c>
      <c r="H203" s="78">
        <v>0.21000000000000002</v>
      </c>
      <c r="I203" s="83">
        <v>-0.01</v>
      </c>
      <c r="J203" s="78">
        <v>0.21000000000000002</v>
      </c>
      <c r="K203" s="83">
        <v>-0.01</v>
      </c>
      <c r="L203" s="78">
        <v>0.21000000000000002</v>
      </c>
      <c r="M203" s="83">
        <v>-0.01</v>
      </c>
      <c r="N203" s="79">
        <v>0.21000000000000002</v>
      </c>
      <c r="O203" s="53" t="str">
        <f>IF(OR(INDEX([1]Relação_Calibrações_Localização!$F$8:$F$259,MATCH(B203,[1]Relação_Calibrações_Localização!$B$8:$B$259,0))="PERDIDO",INDEX([1]Relação_Calibrações_Localização!F145:F395,MATCH(B203,[1]Relação_Calibrações_Localização!$B$8:$B$259,0))="NÃO LOCALIZADO"),"PERDIDO",
IF(OR(G203="",I203="",K203="",M203=""),"INDETERMINADO",IF(MAX(H203,J203,L203,N203)&lt;=0.5,"APROVADO","REPROVADO")))</f>
        <v>APROVADO</v>
      </c>
      <c r="P203" s="80">
        <v>0.4</v>
      </c>
      <c r="Q203" s="83">
        <v>3.5</v>
      </c>
      <c r="R203" s="79">
        <v>3.9</v>
      </c>
      <c r="S203" s="81">
        <v>1</v>
      </c>
      <c r="T203" s="83">
        <v>0.4</v>
      </c>
      <c r="U203" s="79">
        <v>1.4</v>
      </c>
      <c r="V203" s="80">
        <v>1.5</v>
      </c>
      <c r="W203" s="83">
        <v>-3.5</v>
      </c>
      <c r="X203" s="79">
        <v>5</v>
      </c>
      <c r="Y203" s="82" t="str">
        <f>IF(OR(INDEX([1]Relação_Calibrações_Localização!$F$8:$F$259,MATCH(B203,[1]Relação_Calibrações_Localização!$B$8:$B$259,0))="PERDIDO",INDEX([1]Relação_Calibrações_Localização!F145:F395,MATCH(B203,[1]Relação_Calibrações_Localização!$B$8:$B$259,0))="NÃO LOCALIZADO"),"PERDIDO",
IF(OR(Q203="",T203="",W203=""),"INDETERMINADO",IF(MAX(R203,U203,X203)&lt;=5,"APROVADO","REPROVADO")))</f>
        <v>APROVADO</v>
      </c>
    </row>
    <row r="204" spans="1:25" x14ac:dyDescent="0.25">
      <c r="A204" s="72">
        <v>37339111</v>
      </c>
      <c r="B204" s="73" t="s">
        <v>232</v>
      </c>
      <c r="C204" s="74">
        <v>45523</v>
      </c>
      <c r="D204" s="75">
        <v>45888</v>
      </c>
      <c r="E204" s="48">
        <v>454934</v>
      </c>
      <c r="F204" s="76">
        <v>0.2</v>
      </c>
      <c r="G204" s="83">
        <v>-0.01</v>
      </c>
      <c r="H204" s="78">
        <v>0.21000000000000002</v>
      </c>
      <c r="I204" s="83">
        <v>-0.01</v>
      </c>
      <c r="J204" s="78">
        <v>0.21000000000000002</v>
      </c>
      <c r="K204" s="83">
        <v>-0.01</v>
      </c>
      <c r="L204" s="78">
        <v>0.21000000000000002</v>
      </c>
      <c r="M204" s="83">
        <v>-0.01</v>
      </c>
      <c r="N204" s="79">
        <v>0.21000000000000002</v>
      </c>
      <c r="O204" s="53" t="str">
        <f>IF(OR(INDEX([1]Relação_Calibrações_Localização!$F$8:$F$259,MATCH(B204,[1]Relação_Calibrações_Localização!$B$8:$B$259,0))="PERDIDO",INDEX([1]Relação_Calibrações_Localização!F146:F396,MATCH(B204,[1]Relação_Calibrações_Localização!$B$8:$B$259,0))="NÃO LOCALIZADO"),"PERDIDO",
IF(OR(G204="",I204="",K204="",M204=""),"INDETERMINADO",IF(MAX(H204,J204,L204,N204)&lt;=0.5,"APROVADO","REPROVADO")))</f>
        <v>APROVADO</v>
      </c>
      <c r="P204" s="80">
        <v>0.4</v>
      </c>
      <c r="Q204" s="83">
        <v>3.5</v>
      </c>
      <c r="R204" s="79">
        <v>3.9</v>
      </c>
      <c r="S204" s="81">
        <v>1</v>
      </c>
      <c r="T204" s="83">
        <v>1.2</v>
      </c>
      <c r="U204" s="79">
        <v>2.2000000000000002</v>
      </c>
      <c r="V204" s="80">
        <v>1.5</v>
      </c>
      <c r="W204" s="83">
        <v>-3.5</v>
      </c>
      <c r="X204" s="79">
        <v>5</v>
      </c>
      <c r="Y204" s="82" t="str">
        <f>IF(OR(INDEX([1]Relação_Calibrações_Localização!$F$8:$F$259,MATCH(B204,[1]Relação_Calibrações_Localização!$B$8:$B$259,0))="PERDIDO",INDEX([1]Relação_Calibrações_Localização!F146:F396,MATCH(B204,[1]Relação_Calibrações_Localização!$B$8:$B$259,0))="NÃO LOCALIZADO"),"PERDIDO",
IF(OR(Q204="",T204="",W204=""),"INDETERMINADO",IF(MAX(R204,U204,X204)&lt;=5,"APROVADO","REPROVADO")))</f>
        <v>APROVADO</v>
      </c>
    </row>
    <row r="205" spans="1:25" x14ac:dyDescent="0.25">
      <c r="A205" s="72">
        <v>37339131</v>
      </c>
      <c r="B205" s="73" t="s">
        <v>233</v>
      </c>
      <c r="C205" s="74">
        <v>45523</v>
      </c>
      <c r="D205" s="75">
        <v>45888</v>
      </c>
      <c r="E205" s="48">
        <v>454963</v>
      </c>
      <c r="F205" s="76">
        <v>0.2</v>
      </c>
      <c r="G205" s="83">
        <v>-0.01</v>
      </c>
      <c r="H205" s="78">
        <v>0.21000000000000002</v>
      </c>
      <c r="I205" s="83">
        <v>-0.01</v>
      </c>
      <c r="J205" s="78">
        <v>0.21000000000000002</v>
      </c>
      <c r="K205" s="83">
        <v>-0.01</v>
      </c>
      <c r="L205" s="78">
        <v>0.21000000000000002</v>
      </c>
      <c r="M205" s="83">
        <v>-0.01</v>
      </c>
      <c r="N205" s="79">
        <v>0.21000000000000002</v>
      </c>
      <c r="O205" s="53" t="str">
        <f>IF(OR(INDEX([1]Relação_Calibrações_Localização!$F$8:$F$259,MATCH(B205,[1]Relação_Calibrações_Localização!$B$8:$B$259,0))="PERDIDO",INDEX([1]Relação_Calibrações_Localização!F149:F399,MATCH(B205,[1]Relação_Calibrações_Localização!$B$8:$B$259,0))="NÃO LOCALIZADO"),"PERDIDO",
IF(OR(G205="",I205="",K205="",M205=""),"INDETERMINADO",IF(MAX(H205,J205,L205,N205)&lt;=0.5,"APROVADO","REPROVADO")))</f>
        <v>APROVADO</v>
      </c>
      <c r="P205" s="80">
        <v>0.4</v>
      </c>
      <c r="Q205" s="83">
        <v>3.5</v>
      </c>
      <c r="R205" s="79">
        <v>3.9</v>
      </c>
      <c r="S205" s="81">
        <v>1</v>
      </c>
      <c r="T205" s="83">
        <v>1.6</v>
      </c>
      <c r="U205" s="79">
        <v>2.6</v>
      </c>
      <c r="V205" s="80">
        <v>1.5</v>
      </c>
      <c r="W205" s="83">
        <v>-2.2999999999999998</v>
      </c>
      <c r="X205" s="79">
        <v>3.8</v>
      </c>
      <c r="Y205" s="82" t="str">
        <f>IF(OR(INDEX([1]Relação_Calibrações_Localização!$F$8:$F$259,MATCH(B205,[1]Relação_Calibrações_Localização!$B$8:$B$259,0))="PERDIDO",INDEX([1]Relação_Calibrações_Localização!F149:F399,MATCH(B205,[1]Relação_Calibrações_Localização!$B$8:$B$259,0))="NÃO LOCALIZADO"),"PERDIDO",
IF(OR(Q205="",T205="",W205=""),"INDETERMINADO",IF(MAX(R205,U205,X205)&lt;=5,"APROVADO","REPROVADO")))</f>
        <v>APROVADO</v>
      </c>
    </row>
    <row r="206" spans="1:25" x14ac:dyDescent="0.25">
      <c r="A206" s="72">
        <v>37339740</v>
      </c>
      <c r="B206" s="73" t="s">
        <v>234</v>
      </c>
      <c r="C206" s="74">
        <v>45523</v>
      </c>
      <c r="D206" s="75">
        <v>45888</v>
      </c>
      <c r="E206" s="48">
        <v>454933</v>
      </c>
      <c r="F206" s="76">
        <v>0.2</v>
      </c>
      <c r="G206" s="83">
        <v>-0.01</v>
      </c>
      <c r="H206" s="78">
        <v>0.21000000000000002</v>
      </c>
      <c r="I206" s="83">
        <v>-0.01</v>
      </c>
      <c r="J206" s="78">
        <v>0.21000000000000002</v>
      </c>
      <c r="K206" s="83">
        <v>-0.01</v>
      </c>
      <c r="L206" s="78">
        <v>0.21000000000000002</v>
      </c>
      <c r="M206" s="83">
        <v>-0.01</v>
      </c>
      <c r="N206" s="79">
        <v>0.21000000000000002</v>
      </c>
      <c r="O206" s="53" t="str">
        <f>IF(OR(INDEX([1]Relação_Calibrações_Localização!$F$8:$F$259,MATCH(B206,[1]Relação_Calibrações_Localização!$B$8:$B$259,0))="PERDIDO",INDEX([1]Relação_Calibrações_Localização!F150:F400,MATCH(B206,[1]Relação_Calibrações_Localização!$B$8:$B$259,0))="NÃO LOCALIZADO"),"PERDIDO",
IF(OR(G206="",I206="",K206="",M206=""),"INDETERMINADO",IF(MAX(H206,J206,L206,N206)&lt;=0.5,"APROVADO","REPROVADO")))</f>
        <v>APROVADO</v>
      </c>
      <c r="P206" s="80">
        <v>0.4</v>
      </c>
      <c r="Q206" s="83">
        <v>3.5</v>
      </c>
      <c r="R206" s="79">
        <v>3.9</v>
      </c>
      <c r="S206" s="81">
        <v>1</v>
      </c>
      <c r="T206" s="83">
        <v>1.7</v>
      </c>
      <c r="U206" s="79">
        <v>2.7</v>
      </c>
      <c r="V206" s="80">
        <v>1.5</v>
      </c>
      <c r="W206" s="83">
        <v>-3.5</v>
      </c>
      <c r="X206" s="79">
        <v>5</v>
      </c>
      <c r="Y206" s="82" t="str">
        <f>IF(OR(INDEX([1]Relação_Calibrações_Localização!$F$8:$F$259,MATCH(B206,[1]Relação_Calibrações_Localização!$B$8:$B$259,0))="PERDIDO",INDEX([1]Relação_Calibrações_Localização!F150:F400,MATCH(B206,[1]Relação_Calibrações_Localização!$B$8:$B$259,0))="NÃO LOCALIZADO"),"PERDIDO",
IF(OR(Q206="",T206="",W206=""),"INDETERMINADO",IF(MAX(R206,U206,X206)&lt;=5,"APROVADO","REPROVADO")))</f>
        <v>APROVADO</v>
      </c>
    </row>
    <row r="207" spans="1:25" x14ac:dyDescent="0.25">
      <c r="A207" s="72">
        <v>37339797</v>
      </c>
      <c r="B207" s="73" t="s">
        <v>235</v>
      </c>
      <c r="C207" s="74">
        <v>44252</v>
      </c>
      <c r="D207" s="75">
        <f>EDATE(C207,12)</f>
        <v>44617</v>
      </c>
      <c r="E207" s="48">
        <v>282301</v>
      </c>
      <c r="F207" s="76">
        <v>0.15</v>
      </c>
      <c r="G207" s="83"/>
      <c r="H207" s="78">
        <f>ABS(G207)+F207</f>
        <v>0.15</v>
      </c>
      <c r="I207" s="83"/>
      <c r="J207" s="78">
        <f>ABS(I207)+F207</f>
        <v>0.15</v>
      </c>
      <c r="K207" s="83"/>
      <c r="L207" s="78">
        <f>ABS(K207)+F207</f>
        <v>0.15</v>
      </c>
      <c r="M207" s="83"/>
      <c r="N207" s="79">
        <f>ABS(M207)+F207</f>
        <v>0.15</v>
      </c>
      <c r="O207" s="53" t="str">
        <f>IF(OR(INDEX([1]Relação_Calibrações_Localização!$F$8:$F$259,MATCH(B207,[1]Relação_Calibrações_Localização!$B$8:$B$259,0))="PERDIDO",INDEX([1]Relação_Calibrações_Localização!F151:F401,MATCH(B207,[1]Relação_Calibrações_Localização!$B$8:$B$259,0))="NÃO LOCALIZADO"),"PERDIDO",
IF(OR(G207="",I207="",K207="",M207=""),"INDETERMINADO",IF(MAX(H207,J207,L207,N207)&lt;=0.5,"APROVADO","REPROVADO")))</f>
        <v>INDETERMINADO</v>
      </c>
      <c r="P207" s="80">
        <v>0.4</v>
      </c>
      <c r="Q207" s="83"/>
      <c r="R207" s="79">
        <f>ABS(Q207)+P207</f>
        <v>0.4</v>
      </c>
      <c r="S207" s="81">
        <v>1</v>
      </c>
      <c r="T207" s="83"/>
      <c r="U207" s="79">
        <f>ABS(T207)+S207</f>
        <v>1</v>
      </c>
      <c r="V207" s="80">
        <v>1.5</v>
      </c>
      <c r="W207" s="83"/>
      <c r="X207" s="79">
        <f>ABS(W207)+V207</f>
        <v>1.5</v>
      </c>
      <c r="Y207" s="82" t="str">
        <f>IF(OR(INDEX([1]Relação_Calibrações_Localização!$F$8:$F$259,MATCH(B207,[1]Relação_Calibrações_Localização!$B$8:$B$259,0))="PERDIDO",INDEX([1]Relação_Calibrações_Localização!F151:F401,MATCH(B207,[1]Relação_Calibrações_Localização!$B$8:$B$259,0))="NÃO LOCALIZADO"),"PERDIDO",
IF(OR(Q207="",T207="",W207=""),"INDETERMINADO",IF(MAX(R207,U207,X207)&lt;=5,"APROVADO","REPROVADO")))</f>
        <v>INDETERMINADO</v>
      </c>
    </row>
    <row r="208" spans="1:25" x14ac:dyDescent="0.25">
      <c r="A208" s="72">
        <v>37339823</v>
      </c>
      <c r="B208" s="73" t="s">
        <v>236</v>
      </c>
      <c r="C208" s="74">
        <v>45523</v>
      </c>
      <c r="D208" s="75">
        <v>45888</v>
      </c>
      <c r="E208" s="48">
        <v>454964</v>
      </c>
      <c r="F208" s="76">
        <v>0.2</v>
      </c>
      <c r="G208" s="83">
        <v>-0.01</v>
      </c>
      <c r="H208" s="78">
        <v>0.21000000000000002</v>
      </c>
      <c r="I208" s="83">
        <v>-0.01</v>
      </c>
      <c r="J208" s="78">
        <v>0.21000000000000002</v>
      </c>
      <c r="K208" s="83">
        <v>-0.01</v>
      </c>
      <c r="L208" s="78">
        <v>0.21000000000000002</v>
      </c>
      <c r="M208" s="83">
        <v>-0.01</v>
      </c>
      <c r="N208" s="79">
        <v>0.21000000000000002</v>
      </c>
      <c r="O208" s="53" t="str">
        <f>IF(OR(INDEX([1]Relação_Calibrações_Localização!$F$8:$F$259,MATCH(B208,[1]Relação_Calibrações_Localização!$B$8:$B$259,0))="PERDIDO",INDEX([1]Relação_Calibrações_Localização!F153:F403,MATCH(B208,[1]Relação_Calibrações_Localização!$B$8:$B$259,0))="NÃO LOCALIZADO"),"PERDIDO",
IF(OR(G208="",I208="",K208="",M208=""),"INDETERMINADO",IF(MAX(H208,J208,L208,N208)&lt;=0.5,"APROVADO","REPROVADO")))</f>
        <v>APROVADO</v>
      </c>
      <c r="P208" s="80">
        <v>0.4</v>
      </c>
      <c r="Q208" s="83">
        <v>3.5</v>
      </c>
      <c r="R208" s="79">
        <v>3.9</v>
      </c>
      <c r="S208" s="81">
        <v>1</v>
      </c>
      <c r="T208" s="83">
        <v>2.1</v>
      </c>
      <c r="U208" s="79">
        <v>3.1</v>
      </c>
      <c r="V208" s="80">
        <v>1.5</v>
      </c>
      <c r="W208" s="83">
        <v>-3.5</v>
      </c>
      <c r="X208" s="79">
        <v>5</v>
      </c>
      <c r="Y208" s="82" t="str">
        <f>IF(OR(INDEX([1]Relação_Calibrações_Localização!$F$8:$F$259,MATCH(B208,[1]Relação_Calibrações_Localização!$B$8:$B$259,0))="PERDIDO",INDEX([1]Relação_Calibrações_Localização!F153:F403,MATCH(B208,[1]Relação_Calibrações_Localização!$B$8:$B$259,0))="NÃO LOCALIZADO"),"PERDIDO",
IF(OR(Q208="",T208="",W208=""),"INDETERMINADO",IF(MAX(R208,U208,X208)&lt;=5,"APROVADO","REPROVADO")))</f>
        <v>APROVADO</v>
      </c>
    </row>
    <row r="209" spans="1:25" x14ac:dyDescent="0.25">
      <c r="A209" s="72">
        <v>37339826</v>
      </c>
      <c r="B209" s="73" t="s">
        <v>237</v>
      </c>
      <c r="C209" s="74">
        <v>45523</v>
      </c>
      <c r="D209" s="75">
        <v>45888</v>
      </c>
      <c r="E209" s="48">
        <v>454965</v>
      </c>
      <c r="F209" s="76">
        <v>0.2</v>
      </c>
      <c r="G209" s="83">
        <v>-0.01</v>
      </c>
      <c r="H209" s="78">
        <v>0.21000000000000002</v>
      </c>
      <c r="I209" s="83">
        <v>-0.01</v>
      </c>
      <c r="J209" s="78">
        <v>0.21000000000000002</v>
      </c>
      <c r="K209" s="83">
        <v>-0.01</v>
      </c>
      <c r="L209" s="78">
        <v>0.21000000000000002</v>
      </c>
      <c r="M209" s="83">
        <v>-0.01</v>
      </c>
      <c r="N209" s="79">
        <v>0.21000000000000002</v>
      </c>
      <c r="O209" s="53" t="str">
        <f>IF(OR(INDEX([1]Relação_Calibrações_Localização!$F$8:$F$259,MATCH(B209,[1]Relação_Calibrações_Localização!$B$8:$B$259,0))="PERDIDO",INDEX([1]Relação_Calibrações_Localização!F154:F404,MATCH(B209,[1]Relação_Calibrações_Localização!$B$8:$B$259,0))="NÃO LOCALIZADO"),"PERDIDO",
IF(OR(G209="",I209="",K209="",M209=""),"INDETERMINADO",IF(MAX(H209,J209,L209,N209)&lt;=0.5,"APROVADO","REPROVADO")))</f>
        <v>APROVADO</v>
      </c>
      <c r="P209" s="80">
        <v>0.4</v>
      </c>
      <c r="Q209" s="83">
        <v>3.5</v>
      </c>
      <c r="R209" s="79">
        <v>3.9</v>
      </c>
      <c r="S209" s="81">
        <v>1</v>
      </c>
      <c r="T209" s="83">
        <v>2.7</v>
      </c>
      <c r="U209" s="79">
        <v>3.7</v>
      </c>
      <c r="V209" s="80">
        <v>1.5</v>
      </c>
      <c r="W209" s="83">
        <v>-0.4</v>
      </c>
      <c r="X209" s="79">
        <v>1.9</v>
      </c>
      <c r="Y209" s="82" t="str">
        <f>IF(OR(INDEX([1]Relação_Calibrações_Localização!$F$8:$F$259,MATCH(B209,[1]Relação_Calibrações_Localização!$B$8:$B$259,0))="PERDIDO",INDEX([1]Relação_Calibrações_Localização!F154:F404,MATCH(B209,[1]Relação_Calibrações_Localização!$B$8:$B$259,0))="NÃO LOCALIZADO"),"PERDIDO",
IF(OR(Q209="",T209="",W209=""),"INDETERMINADO",IF(MAX(R209,U209,X209)&lt;=5,"APROVADO","REPROVADO")))</f>
        <v>APROVADO</v>
      </c>
    </row>
    <row r="210" spans="1:25" x14ac:dyDescent="0.25">
      <c r="A210" s="72">
        <v>37339829</v>
      </c>
      <c r="B210" s="73" t="s">
        <v>238</v>
      </c>
      <c r="C210" s="74">
        <v>45523</v>
      </c>
      <c r="D210" s="75">
        <v>45888</v>
      </c>
      <c r="E210" s="48">
        <v>454966</v>
      </c>
      <c r="F210" s="76">
        <v>0.2</v>
      </c>
      <c r="G210" s="83">
        <v>-0.01</v>
      </c>
      <c r="H210" s="78">
        <v>0.21000000000000002</v>
      </c>
      <c r="I210" s="83">
        <v>-0.01</v>
      </c>
      <c r="J210" s="78">
        <v>0.21000000000000002</v>
      </c>
      <c r="K210" s="83">
        <v>-0.01</v>
      </c>
      <c r="L210" s="78">
        <v>0.21000000000000002</v>
      </c>
      <c r="M210" s="83">
        <v>-0.01</v>
      </c>
      <c r="N210" s="79">
        <v>0.21000000000000002</v>
      </c>
      <c r="O210" s="53" t="str">
        <f>IF(OR(INDEX([1]Relação_Calibrações_Localização!$F$8:$F$259,MATCH(B210,[1]Relação_Calibrações_Localização!$B$8:$B$259,0))="PERDIDO",INDEX([1]Relação_Calibrações_Localização!F155:F405,MATCH(B210,[1]Relação_Calibrações_Localização!$B$8:$B$259,0))="NÃO LOCALIZADO"),"PERDIDO",
IF(OR(G210="",I210="",K210="",M210=""),"INDETERMINADO",IF(MAX(H210,J210,L210,N210)&lt;=0.5,"APROVADO","REPROVADO")))</f>
        <v>APROVADO</v>
      </c>
      <c r="P210" s="80">
        <v>0.4</v>
      </c>
      <c r="Q210" s="83">
        <v>3.5</v>
      </c>
      <c r="R210" s="79">
        <v>3.9</v>
      </c>
      <c r="S210" s="81">
        <v>1</v>
      </c>
      <c r="T210" s="83">
        <v>2.2000000000000002</v>
      </c>
      <c r="U210" s="79">
        <v>3.2</v>
      </c>
      <c r="V210" s="80">
        <v>1.5</v>
      </c>
      <c r="W210" s="83">
        <v>-1.3</v>
      </c>
      <c r="X210" s="79">
        <v>2.8</v>
      </c>
      <c r="Y210" s="82" t="str">
        <f>IF(OR(INDEX([1]Relação_Calibrações_Localização!$F$8:$F$259,MATCH(B210,[1]Relação_Calibrações_Localização!$B$8:$B$259,0))="PERDIDO",INDEX([1]Relação_Calibrações_Localização!F155:F405,MATCH(B210,[1]Relação_Calibrações_Localização!$B$8:$B$259,0))="NÃO LOCALIZADO"),"PERDIDO",
IF(OR(Q210="",T210="",W210=""),"INDETERMINADO",IF(MAX(R210,U210,X210)&lt;=5,"APROVADO","REPROVADO")))</f>
        <v>APROVADO</v>
      </c>
    </row>
    <row r="211" spans="1:25" x14ac:dyDescent="0.25">
      <c r="A211" s="72">
        <v>37339962</v>
      </c>
      <c r="B211" s="73" t="s">
        <v>239</v>
      </c>
      <c r="C211" s="74">
        <v>45120</v>
      </c>
      <c r="D211" s="75">
        <f>EDATE(C211,12)</f>
        <v>45486</v>
      </c>
      <c r="E211" s="48">
        <v>393884</v>
      </c>
      <c r="F211" s="76">
        <v>0.2</v>
      </c>
      <c r="G211" s="83">
        <v>-0.2</v>
      </c>
      <c r="H211" s="78">
        <v>0.4</v>
      </c>
      <c r="I211" s="83">
        <v>-0.1</v>
      </c>
      <c r="J211" s="78">
        <v>0.30000000000000004</v>
      </c>
      <c r="K211" s="83">
        <v>0</v>
      </c>
      <c r="L211" s="78">
        <v>0.2</v>
      </c>
      <c r="M211" s="83">
        <v>0.1</v>
      </c>
      <c r="N211" s="79">
        <v>0.30000000000000004</v>
      </c>
      <c r="O211" s="53" t="str">
        <f>IF(OR(INDEX([1]Relação_Calibrações_Localização!$F$8:$F$259,MATCH(B211,[1]Relação_Calibrações_Localização!$B$8:$B$259,0))="PERDIDO",INDEX([1]Relação_Calibrações_Localização!F156:F406,MATCH(B211,[1]Relação_Calibrações_Localização!$B$8:$B$259,0))="NÃO LOCALIZADO"),"PERDIDO",
IF(OR(G211="",I211="",K211="",M211=""),"INDETERMINADO",IF(MAX(H211,J211,L211,N211)&lt;=0.5,"APROVADO","REPROVADO")))</f>
        <v>APROVADO</v>
      </c>
      <c r="P211" s="80">
        <v>0.4</v>
      </c>
      <c r="Q211" s="83">
        <v>2.2000000000000002</v>
      </c>
      <c r="R211" s="79">
        <v>2.6</v>
      </c>
      <c r="S211" s="81">
        <v>1</v>
      </c>
      <c r="T211" s="83">
        <v>1.3</v>
      </c>
      <c r="U211" s="79">
        <v>2.2999999999999998</v>
      </c>
      <c r="V211" s="80">
        <v>1.5</v>
      </c>
      <c r="W211" s="83">
        <v>-0.7</v>
      </c>
      <c r="X211" s="79">
        <v>2.2000000000000002</v>
      </c>
      <c r="Y211" s="82" t="str">
        <f>IF(OR(INDEX([1]Relação_Calibrações_Localização!$F$8:$F$259,MATCH(B211,[1]Relação_Calibrações_Localização!$B$8:$B$259,0))="PERDIDO",INDEX([1]Relação_Calibrações_Localização!F156:F406,MATCH(B211,[1]Relação_Calibrações_Localização!$B$8:$B$259,0))="NÃO LOCALIZADO"),"PERDIDO",
IF(OR(Q211="",T211="",W211=""),"INDETERMINADO",IF(MAX(R211,U211,X211)&lt;=5,"APROVADO","REPROVADO")))</f>
        <v>APROVADO</v>
      </c>
    </row>
    <row r="212" spans="1:25" x14ac:dyDescent="0.25">
      <c r="A212" s="72">
        <v>37340688</v>
      </c>
      <c r="B212" s="73" t="s">
        <v>240</v>
      </c>
      <c r="C212" s="74">
        <v>45523</v>
      </c>
      <c r="D212" s="75">
        <v>45888</v>
      </c>
      <c r="E212" s="48">
        <v>454931</v>
      </c>
      <c r="F212" s="76">
        <v>0.2</v>
      </c>
      <c r="G212" s="83">
        <v>-0.01</v>
      </c>
      <c r="H212" s="78">
        <v>0.21000000000000002</v>
      </c>
      <c r="I212" s="83">
        <v>-0.01</v>
      </c>
      <c r="J212" s="78">
        <v>0.21000000000000002</v>
      </c>
      <c r="K212" s="83">
        <v>-0.01</v>
      </c>
      <c r="L212" s="78">
        <v>0.21000000000000002</v>
      </c>
      <c r="M212" s="83">
        <v>-0.01</v>
      </c>
      <c r="N212" s="79">
        <v>0.21000000000000002</v>
      </c>
      <c r="O212" s="53" t="str">
        <f>IF(OR(INDEX([1]Relação_Calibrações_Localização!$F$8:$F$259,MATCH(B212,[1]Relação_Calibrações_Localização!$B$8:$B$259,0))="PERDIDO",INDEX([1]Relação_Calibrações_Localização!F157:F407,MATCH(B212,[1]Relação_Calibrações_Localização!$B$8:$B$259,0))="NÃO LOCALIZADO"),"PERDIDO",
IF(OR(G212="",I212="",K212="",M212=""),"INDETERMINADO",IF(MAX(H212,J212,L212,N212)&lt;=0.5,"APROVADO","REPROVADO")))</f>
        <v>APROVADO</v>
      </c>
      <c r="P212" s="80">
        <v>0.4</v>
      </c>
      <c r="Q212" s="83">
        <v>3.5</v>
      </c>
      <c r="R212" s="79">
        <v>3.9</v>
      </c>
      <c r="S212" s="81">
        <v>1</v>
      </c>
      <c r="T212" s="83">
        <v>1.8</v>
      </c>
      <c r="U212" s="79">
        <v>2.8</v>
      </c>
      <c r="V212" s="80">
        <v>1.5</v>
      </c>
      <c r="W212" s="83">
        <v>-2.1</v>
      </c>
      <c r="X212" s="79">
        <v>3.6</v>
      </c>
      <c r="Y212" s="82" t="str">
        <f>IF(OR(INDEX([1]Relação_Calibrações_Localização!$F$8:$F$259,MATCH(B212,[1]Relação_Calibrações_Localização!$B$8:$B$259,0))="PERDIDO",INDEX([1]Relação_Calibrações_Localização!F157:F407,MATCH(B212,[1]Relação_Calibrações_Localização!$B$8:$B$259,0))="NÃO LOCALIZADO"),"PERDIDO",
IF(OR(Q212="",T212="",W212=""),"INDETERMINADO",IF(MAX(R212,U212,X212)&lt;=5,"APROVADO","REPROVADO")))</f>
        <v>APROVADO</v>
      </c>
    </row>
    <row r="213" spans="1:25" x14ac:dyDescent="0.25">
      <c r="A213" s="72">
        <v>37340814</v>
      </c>
      <c r="B213" s="73" t="s">
        <v>241</v>
      </c>
      <c r="C213" s="74">
        <v>45523</v>
      </c>
      <c r="D213" s="75">
        <v>45888</v>
      </c>
      <c r="E213" s="48">
        <v>454967</v>
      </c>
      <c r="F213" s="76">
        <v>0.2</v>
      </c>
      <c r="G213" s="83">
        <v>-0.01</v>
      </c>
      <c r="H213" s="78">
        <v>0.21000000000000002</v>
      </c>
      <c r="I213" s="83">
        <v>-0.01</v>
      </c>
      <c r="J213" s="78">
        <v>0.21000000000000002</v>
      </c>
      <c r="K213" s="83">
        <v>0.09</v>
      </c>
      <c r="L213" s="78">
        <v>0.29000000000000004</v>
      </c>
      <c r="M213" s="83">
        <v>0.09</v>
      </c>
      <c r="N213" s="79">
        <v>0.29000000000000004</v>
      </c>
      <c r="O213" s="53" t="str">
        <f>IF(OR(INDEX([1]Relação_Calibrações_Localização!$F$8:$F$259,MATCH(B213,[1]Relação_Calibrações_Localização!$B$8:$B$259,0))="PERDIDO",INDEX([1]Relação_Calibrações_Localização!F158:F408,MATCH(B213,[1]Relação_Calibrações_Localização!$B$8:$B$259,0))="NÃO LOCALIZADO"),"PERDIDO",
IF(OR(G213="",I213="",K213="",M213=""),"INDETERMINADO",IF(MAX(H213,J213,L213,N213)&lt;=0.5,"APROVADO","REPROVADO")))</f>
        <v>APROVADO</v>
      </c>
      <c r="P213" s="80">
        <v>0.4</v>
      </c>
      <c r="Q213" s="83">
        <v>-1.5</v>
      </c>
      <c r="R213" s="79">
        <v>1.9</v>
      </c>
      <c r="S213" s="81">
        <v>1</v>
      </c>
      <c r="T213" s="83">
        <v>2.2000000000000002</v>
      </c>
      <c r="U213" s="79">
        <v>3.2</v>
      </c>
      <c r="V213" s="80">
        <v>1.5</v>
      </c>
      <c r="W213" s="83">
        <v>-1.3</v>
      </c>
      <c r="X213" s="79">
        <v>2.8</v>
      </c>
      <c r="Y213" s="82" t="str">
        <f>IF(OR(INDEX([1]Relação_Calibrações_Localização!$F$8:$F$259,MATCH(B213,[1]Relação_Calibrações_Localização!$B$8:$B$259,0))="PERDIDO",INDEX([1]Relação_Calibrações_Localização!F158:F408,MATCH(B213,[1]Relação_Calibrações_Localização!$B$8:$B$259,0))="NÃO LOCALIZADO"),"PERDIDO",
IF(OR(Q213="",T213="",W213=""),"INDETERMINADO",IF(MAX(R213,U213,X213)&lt;=5,"APROVADO","REPROVADO")))</f>
        <v>APROVADO</v>
      </c>
    </row>
    <row r="214" spans="1:25" x14ac:dyDescent="0.25">
      <c r="A214" s="72">
        <v>37340842</v>
      </c>
      <c r="B214" s="73" t="s">
        <v>242</v>
      </c>
      <c r="C214" s="74">
        <v>44252</v>
      </c>
      <c r="D214" s="75">
        <f>EDATE(C214,12)</f>
        <v>44617</v>
      </c>
      <c r="E214" s="48">
        <v>282271</v>
      </c>
      <c r="F214" s="76">
        <v>0.15</v>
      </c>
      <c r="G214" s="83"/>
      <c r="H214" s="78">
        <f>ABS(G214)+F214</f>
        <v>0.15</v>
      </c>
      <c r="I214" s="83"/>
      <c r="J214" s="78">
        <f>ABS(I214)+F214</f>
        <v>0.15</v>
      </c>
      <c r="K214" s="83"/>
      <c r="L214" s="78">
        <f>ABS(K214)+F214</f>
        <v>0.15</v>
      </c>
      <c r="M214" s="83"/>
      <c r="N214" s="79">
        <f>ABS(M214)+F214</f>
        <v>0.15</v>
      </c>
      <c r="O214" s="53" t="str">
        <f>IF(OR(INDEX([1]Relação_Calibrações_Localização!$F$8:$F$259,MATCH(B214,[1]Relação_Calibrações_Localização!$B$8:$B$259,0))="PERDIDO",INDEX([1]Relação_Calibrações_Localização!F159:F409,MATCH(B214,[1]Relação_Calibrações_Localização!$B$8:$B$259,0))="NÃO LOCALIZADO"),"PERDIDO",
IF(OR(G214="",I214="",K214="",M214=""),"INDETERMINADO",IF(MAX(H214,J214,L214,N214)&lt;=0.5,"APROVADO","REPROVADO")))</f>
        <v>INDETERMINADO</v>
      </c>
      <c r="P214" s="80">
        <v>0.4</v>
      </c>
      <c r="Q214" s="83"/>
      <c r="R214" s="79">
        <f>ABS(Q214)+P214</f>
        <v>0.4</v>
      </c>
      <c r="S214" s="81">
        <v>1</v>
      </c>
      <c r="T214" s="83"/>
      <c r="U214" s="79">
        <f>ABS(T214)+S214</f>
        <v>1</v>
      </c>
      <c r="V214" s="80">
        <v>1.5</v>
      </c>
      <c r="W214" s="83"/>
      <c r="X214" s="79">
        <f>ABS(W214)+V214</f>
        <v>1.5</v>
      </c>
      <c r="Y214" s="82" t="str">
        <f>IF(OR(INDEX([1]Relação_Calibrações_Localização!$F$8:$F$259,MATCH(B214,[1]Relação_Calibrações_Localização!$B$8:$B$259,0))="PERDIDO",INDEX([1]Relação_Calibrações_Localização!F159:F409,MATCH(B214,[1]Relação_Calibrações_Localização!$B$8:$B$259,0))="NÃO LOCALIZADO"),"PERDIDO",
IF(OR(Q214="",T214="",W214=""),"INDETERMINADO",IF(MAX(R214,U214,X214)&lt;=5,"APROVADO","REPROVADO")))</f>
        <v>INDETERMINADO</v>
      </c>
    </row>
    <row r="215" spans="1:25" x14ac:dyDescent="0.25">
      <c r="A215" s="72">
        <v>37340849</v>
      </c>
      <c r="B215" s="73" t="s">
        <v>243</v>
      </c>
      <c r="C215" s="74">
        <v>45523</v>
      </c>
      <c r="D215" s="75">
        <v>45888</v>
      </c>
      <c r="E215" s="48">
        <v>454908</v>
      </c>
      <c r="F215" s="76">
        <v>0.2</v>
      </c>
      <c r="G215" s="83">
        <v>0.09</v>
      </c>
      <c r="H215" s="78">
        <v>0.29000000000000004</v>
      </c>
      <c r="I215" s="83">
        <v>0.09</v>
      </c>
      <c r="J215" s="78">
        <v>0.29000000000000004</v>
      </c>
      <c r="K215" s="83">
        <v>0.09</v>
      </c>
      <c r="L215" s="78">
        <v>0.29000000000000004</v>
      </c>
      <c r="M215" s="83">
        <v>0.19</v>
      </c>
      <c r="N215" s="79">
        <v>0.39</v>
      </c>
      <c r="O215" s="53" t="str">
        <f>IF(OR(INDEX([1]Relação_Calibrações_Localização!$F$8:$F$259,MATCH(B215,[1]Relação_Calibrações_Localização!$B$8:$B$259,0))="PERDIDO",INDEX([1]Relação_Calibrações_Localização!F162:F412,MATCH(B215,[1]Relação_Calibrações_Localização!$B$8:$B$259,0))="NÃO LOCALIZADO"),"PERDIDO",
IF(OR(G215="",I215="",K215="",M215=""),"INDETERMINADO",IF(MAX(H215,J215,L215,N215)&lt;=0.5,"APROVADO","REPROVADO")))</f>
        <v>APROVADO</v>
      </c>
      <c r="P215" s="80">
        <v>0.4</v>
      </c>
      <c r="Q215" s="83">
        <v>3.5</v>
      </c>
      <c r="R215" s="79">
        <v>3.9</v>
      </c>
      <c r="S215" s="81">
        <v>1</v>
      </c>
      <c r="T215" s="83">
        <v>0.7</v>
      </c>
      <c r="U215" s="79">
        <v>1.7</v>
      </c>
      <c r="V215" s="80">
        <v>1.5</v>
      </c>
      <c r="W215" s="83">
        <v>-3.3</v>
      </c>
      <c r="X215" s="79">
        <v>4.8</v>
      </c>
      <c r="Y215" s="82" t="str">
        <f>IF(OR(INDEX([1]Relação_Calibrações_Localização!$F$8:$F$259,MATCH(B215,[1]Relação_Calibrações_Localização!$B$8:$B$259,0))="PERDIDO",INDEX([1]Relação_Calibrações_Localização!F162:F412,MATCH(B215,[1]Relação_Calibrações_Localização!$B$8:$B$259,0))="NÃO LOCALIZADO"),"PERDIDO",
IF(OR(Q215="",T215="",W215=""),"INDETERMINADO",IF(MAX(R215,U215,X215)&lt;=5,"APROVADO","REPROVADO")))</f>
        <v>APROVADO</v>
      </c>
    </row>
    <row r="216" spans="1:25" x14ac:dyDescent="0.25">
      <c r="A216" s="72">
        <v>37340862</v>
      </c>
      <c r="B216" s="73" t="s">
        <v>244</v>
      </c>
      <c r="C216" s="74">
        <v>45523</v>
      </c>
      <c r="D216" s="75">
        <v>45888</v>
      </c>
      <c r="E216" s="48">
        <v>454906</v>
      </c>
      <c r="F216" s="76">
        <v>0.2</v>
      </c>
      <c r="G216" s="83">
        <v>0.09</v>
      </c>
      <c r="H216" s="78">
        <v>0.29000000000000004</v>
      </c>
      <c r="I216" s="83">
        <v>0.09</v>
      </c>
      <c r="J216" s="78">
        <v>0.29000000000000004</v>
      </c>
      <c r="K216" s="83">
        <v>-0.01</v>
      </c>
      <c r="L216" s="78">
        <v>0.21000000000000002</v>
      </c>
      <c r="M216" s="83">
        <v>-0.01</v>
      </c>
      <c r="N216" s="79">
        <v>0.21000000000000002</v>
      </c>
      <c r="O216" s="53" t="str">
        <f>IF(OR(INDEX([1]Relação_Calibrações_Localização!$F$8:$F$259,MATCH(B216,[1]Relação_Calibrações_Localização!$B$8:$B$259,0))="PERDIDO",INDEX([1]Relação_Calibrações_Localização!F170:F420,MATCH(B216,[1]Relação_Calibrações_Localização!$B$8:$B$259,0))="NÃO LOCALIZADO"),"PERDIDO",
IF(OR(G216="",I216="",K216="",M216=""),"INDETERMINADO",IF(MAX(H216,J216,L216,N216)&lt;=0.5,"APROVADO","REPROVADO")))</f>
        <v>APROVADO</v>
      </c>
      <c r="P216" s="80">
        <v>0.4</v>
      </c>
      <c r="Q216" s="83">
        <v>3.1</v>
      </c>
      <c r="R216" s="79">
        <v>3.5</v>
      </c>
      <c r="S216" s="81">
        <v>1</v>
      </c>
      <c r="T216" s="83">
        <v>0.7</v>
      </c>
      <c r="U216" s="79">
        <v>1.7</v>
      </c>
      <c r="V216" s="80">
        <v>1.5</v>
      </c>
      <c r="W216" s="83">
        <v>-3.5</v>
      </c>
      <c r="X216" s="79">
        <v>5</v>
      </c>
      <c r="Y216" s="82" t="str">
        <f>IF(OR(INDEX([1]Relação_Calibrações_Localização!$F$8:$F$259,MATCH(B216,[1]Relação_Calibrações_Localização!$B$8:$B$259,0))="PERDIDO",INDEX([1]Relação_Calibrações_Localização!F170:F420,MATCH(B216,[1]Relação_Calibrações_Localização!$B$8:$B$259,0))="NÃO LOCALIZADO"),"PERDIDO",
IF(OR(Q216="",T216="",W216=""),"INDETERMINADO",IF(MAX(R216,U216,X216)&lt;=5,"APROVADO","REPROVADO")))</f>
        <v>APROVADO</v>
      </c>
    </row>
    <row r="217" spans="1:25" x14ac:dyDescent="0.25">
      <c r="A217" s="72">
        <v>37340869</v>
      </c>
      <c r="B217" s="73" t="s">
        <v>245</v>
      </c>
      <c r="C217" s="74">
        <v>45523</v>
      </c>
      <c r="D217" s="75">
        <v>45888</v>
      </c>
      <c r="E217" s="48">
        <v>454969</v>
      </c>
      <c r="F217" s="76">
        <v>0.2</v>
      </c>
      <c r="G217" s="83">
        <v>-0.11</v>
      </c>
      <c r="H217" s="78">
        <v>0.31</v>
      </c>
      <c r="I217" s="83">
        <v>-0.01</v>
      </c>
      <c r="J217" s="78">
        <v>0.21000000000000002</v>
      </c>
      <c r="K217" s="83">
        <v>-0.01</v>
      </c>
      <c r="L217" s="78">
        <v>0.21000000000000002</v>
      </c>
      <c r="M217" s="83">
        <v>0.09</v>
      </c>
      <c r="N217" s="79">
        <v>0.29000000000000004</v>
      </c>
      <c r="O217" s="53" t="str">
        <f>IF(OR(INDEX([1]Relação_Calibrações_Localização!$F$8:$F$259,MATCH(B217,[1]Relação_Calibrações_Localização!$B$8:$B$259,0))="PERDIDO",INDEX([1]Relação_Calibrações_Localização!F175:F425,MATCH(B217,[1]Relação_Calibrações_Localização!$B$8:$B$259,0))="NÃO LOCALIZADO"),"PERDIDO",
IF(OR(G217="",I217="",K217="",M217=""),"INDETERMINADO",IF(MAX(H217,J217,L217,N217)&lt;=0.5,"APROVADO","REPROVADO")))</f>
        <v>APROVADO</v>
      </c>
      <c r="P217" s="80">
        <v>0.4</v>
      </c>
      <c r="Q217" s="83">
        <v>3.5</v>
      </c>
      <c r="R217" s="79">
        <v>3.9</v>
      </c>
      <c r="S217" s="81">
        <v>1</v>
      </c>
      <c r="T217" s="83">
        <v>1.6</v>
      </c>
      <c r="U217" s="79">
        <v>2.6</v>
      </c>
      <c r="V217" s="80">
        <v>1.5</v>
      </c>
      <c r="W217" s="83">
        <v>-2</v>
      </c>
      <c r="X217" s="79">
        <v>3.5</v>
      </c>
      <c r="Y217" s="82" t="str">
        <f>IF(OR(INDEX([1]Relação_Calibrações_Localização!$F$8:$F$259,MATCH(B217,[1]Relação_Calibrações_Localização!$B$8:$B$259,0))="PERDIDO",INDEX([1]Relação_Calibrações_Localização!F175:F425,MATCH(B217,[1]Relação_Calibrações_Localização!$B$8:$B$259,0))="NÃO LOCALIZADO"),"PERDIDO",
IF(OR(Q217="",T217="",W217=""),"INDETERMINADO",IF(MAX(R217,U217,X217)&lt;=5,"APROVADO","REPROVADO")))</f>
        <v>APROVADO</v>
      </c>
    </row>
    <row r="218" spans="1:25" x14ac:dyDescent="0.25">
      <c r="A218" s="72">
        <v>37340873</v>
      </c>
      <c r="B218" s="73" t="s">
        <v>246</v>
      </c>
      <c r="C218" s="74">
        <v>44252</v>
      </c>
      <c r="D218" s="75">
        <f>EDATE(C218,12)</f>
        <v>44617</v>
      </c>
      <c r="E218" s="48">
        <v>282315</v>
      </c>
      <c r="F218" s="76">
        <v>0.15</v>
      </c>
      <c r="G218" s="83"/>
      <c r="H218" s="78">
        <f>ABS(G218)+F218</f>
        <v>0.15</v>
      </c>
      <c r="I218" s="83"/>
      <c r="J218" s="78">
        <f>ABS(I218)+F218</f>
        <v>0.15</v>
      </c>
      <c r="K218" s="83"/>
      <c r="L218" s="78">
        <f>ABS(K218)+F218</f>
        <v>0.15</v>
      </c>
      <c r="M218" s="83"/>
      <c r="N218" s="79">
        <f>ABS(M218)+F218</f>
        <v>0.15</v>
      </c>
      <c r="O218" s="53" t="str">
        <f>IF(OR(INDEX([1]Relação_Calibrações_Localização!$F$8:$F$259,MATCH(B218,[1]Relação_Calibrações_Localização!$B$8:$B$259,0))="PERDIDO",INDEX([1]Relação_Calibrações_Localização!F177:F427,MATCH(B218,[1]Relação_Calibrações_Localização!$B$8:$B$259,0))="NÃO LOCALIZADO"),"PERDIDO",
IF(OR(G218="",I218="",K218="",M218=""),"INDETERMINADO",IF(MAX(H218,J218,L218,N218)&lt;=0.5,"APROVADO","REPROVADO")))</f>
        <v>INDETERMINADO</v>
      </c>
      <c r="P218" s="80">
        <v>0.4</v>
      </c>
      <c r="Q218" s="83"/>
      <c r="R218" s="79">
        <f>ABS(Q218)+P218</f>
        <v>0.4</v>
      </c>
      <c r="S218" s="81">
        <v>1</v>
      </c>
      <c r="T218" s="83"/>
      <c r="U218" s="79">
        <f>ABS(T218)+S218</f>
        <v>1</v>
      </c>
      <c r="V218" s="80">
        <v>1.5</v>
      </c>
      <c r="W218" s="83"/>
      <c r="X218" s="79">
        <f>ABS(W218)+V218</f>
        <v>1.5</v>
      </c>
      <c r="Y218" s="82" t="str">
        <f>IF(OR(INDEX([1]Relação_Calibrações_Localização!$F$8:$F$259,MATCH(B218,[1]Relação_Calibrações_Localização!$B$8:$B$259,0))="PERDIDO",INDEX([1]Relação_Calibrações_Localização!F177:F427,MATCH(B218,[1]Relação_Calibrações_Localização!$B$8:$B$259,0))="NÃO LOCALIZADO"),"PERDIDO",
IF(OR(Q218="",T218="",W218=""),"INDETERMINADO",IF(MAX(R218,U218,X218)&lt;=5,"APROVADO","REPROVADO")))</f>
        <v>INDETERMINADO</v>
      </c>
    </row>
    <row r="219" spans="1:25" x14ac:dyDescent="0.25">
      <c r="A219" s="72">
        <v>37340877</v>
      </c>
      <c r="B219" s="73" t="s">
        <v>247</v>
      </c>
      <c r="C219" s="74">
        <v>45523</v>
      </c>
      <c r="D219" s="75">
        <v>45888</v>
      </c>
      <c r="E219" s="48">
        <v>454903</v>
      </c>
      <c r="F219" s="76">
        <v>0.2</v>
      </c>
      <c r="G219" s="83">
        <v>0.09</v>
      </c>
      <c r="H219" s="78">
        <v>0.29000000000000004</v>
      </c>
      <c r="I219" s="83">
        <v>-0.01</v>
      </c>
      <c r="J219" s="78">
        <v>0.21000000000000002</v>
      </c>
      <c r="K219" s="83">
        <v>-0.01</v>
      </c>
      <c r="L219" s="78">
        <v>0.21000000000000002</v>
      </c>
      <c r="M219" s="83">
        <v>-0.01</v>
      </c>
      <c r="N219" s="79">
        <v>0.21000000000000002</v>
      </c>
      <c r="O219" s="53" t="str">
        <f>IF(OR(INDEX([1]Relação_Calibrações_Localização!$F$8:$F$259,MATCH(B219,[1]Relação_Calibrações_Localização!$B$8:$B$259,0))="PERDIDO",INDEX([1]Relação_Calibrações_Localização!F178:F428,MATCH(B219,[1]Relação_Calibrações_Localização!$B$8:$B$259,0))="NÃO LOCALIZADO"),"PERDIDO",
IF(OR(G219="",I219="",K219="",M219=""),"INDETERMINADO",IF(MAX(H219,J219,L219,N219)&lt;=0.5,"APROVADO","REPROVADO")))</f>
        <v>APROVADO</v>
      </c>
      <c r="P219" s="80">
        <v>0.4</v>
      </c>
      <c r="Q219" s="83">
        <v>3.1</v>
      </c>
      <c r="R219" s="79">
        <v>3.5</v>
      </c>
      <c r="S219" s="81">
        <v>1</v>
      </c>
      <c r="T219" s="83">
        <v>1</v>
      </c>
      <c r="U219" s="79">
        <v>2</v>
      </c>
      <c r="V219" s="80">
        <v>1.5</v>
      </c>
      <c r="W219" s="83">
        <v>-3.4</v>
      </c>
      <c r="X219" s="79">
        <v>4.9000000000000004</v>
      </c>
      <c r="Y219" s="82" t="str">
        <f>IF(OR(INDEX([1]Relação_Calibrações_Localização!$F$8:$F$259,MATCH(B219,[1]Relação_Calibrações_Localização!$B$8:$B$259,0))="PERDIDO",INDEX([1]Relação_Calibrações_Localização!F178:F428,MATCH(B219,[1]Relação_Calibrações_Localização!$B$8:$B$259,0))="NÃO LOCALIZADO"),"PERDIDO",
IF(OR(Q219="",T219="",W219=""),"INDETERMINADO",IF(MAX(R219,U219,X219)&lt;=5,"APROVADO","REPROVADO")))</f>
        <v>APROVADO</v>
      </c>
    </row>
    <row r="220" spans="1:25" x14ac:dyDescent="0.25">
      <c r="A220" s="72">
        <v>37340878</v>
      </c>
      <c r="B220" s="73" t="s">
        <v>248</v>
      </c>
      <c r="C220" s="74">
        <v>44806</v>
      </c>
      <c r="D220" s="75">
        <f>EDATE(C220,12)</f>
        <v>45171</v>
      </c>
      <c r="E220" s="48">
        <v>349127</v>
      </c>
      <c r="F220" s="76">
        <v>0.15</v>
      </c>
      <c r="G220" s="83">
        <v>0</v>
      </c>
      <c r="H220" s="78">
        <f>ABS(G220)+F220</f>
        <v>0.15</v>
      </c>
      <c r="I220" s="83">
        <v>0.1</v>
      </c>
      <c r="J220" s="78">
        <f>ABS(I220)+F220</f>
        <v>0.25</v>
      </c>
      <c r="K220" s="83">
        <v>0.1</v>
      </c>
      <c r="L220" s="78">
        <f>ABS(K220)+F220</f>
        <v>0.25</v>
      </c>
      <c r="M220" s="83">
        <v>0.2</v>
      </c>
      <c r="N220" s="79">
        <f>ABS(M220)+F220</f>
        <v>0.35</v>
      </c>
      <c r="O220" s="53" t="str">
        <f>IF(OR(INDEX([1]Relação_Calibrações_Localização!$F$8:$F$259,MATCH(B220,[1]Relação_Calibrações_Localização!$B$8:$B$259,0))="PERDIDO",INDEX([1]Relação_Calibrações_Localização!F179:F429,MATCH(B220,[1]Relação_Calibrações_Localização!$B$8:$B$259,0))="NÃO LOCALIZADO"),"PERDIDO",
IF(OR(G220="",I220="",K220="",M220=""),"INDETERMINADO",IF(MAX(H220,J220,L220,N220)&lt;=0.5,"APROVADO","REPROVADO")))</f>
        <v>APROVADO</v>
      </c>
      <c r="P220" s="80">
        <v>0.4</v>
      </c>
      <c r="Q220" s="83">
        <v>2.4</v>
      </c>
      <c r="R220" s="79">
        <f>ABS(Q220)+P220</f>
        <v>2.8</v>
      </c>
      <c r="S220" s="81">
        <v>1</v>
      </c>
      <c r="T220" s="83">
        <v>0.5</v>
      </c>
      <c r="U220" s="79">
        <f>ABS(T220)+S220</f>
        <v>1.5</v>
      </c>
      <c r="V220" s="80">
        <v>1.5</v>
      </c>
      <c r="W220" s="83">
        <v>-3.6</v>
      </c>
      <c r="X220" s="79">
        <f>ABS(W220)+V220</f>
        <v>5.0999999999999996</v>
      </c>
      <c r="Y220" s="82" t="str">
        <f>IF(OR(INDEX([1]Relação_Calibrações_Localização!$F$8:$F$259,MATCH(B220,[1]Relação_Calibrações_Localização!$B$8:$B$259,0))="PERDIDO",INDEX([1]Relação_Calibrações_Localização!F179:F429,MATCH(B220,[1]Relação_Calibrações_Localização!$B$8:$B$259,0))="NÃO LOCALIZADO"),"PERDIDO",
IF(OR(Q220="",T220="",W220=""),"INDETERMINADO",IF(MAX(R220,U220,X220)&lt;=5,"APROVADO","REPROVADO")))</f>
        <v>REPROVADO</v>
      </c>
    </row>
    <row r="221" spans="1:25" x14ac:dyDescent="0.25">
      <c r="A221" s="72">
        <v>37340882</v>
      </c>
      <c r="B221" s="73" t="s">
        <v>249</v>
      </c>
      <c r="C221" s="74">
        <v>45460</v>
      </c>
      <c r="D221" s="75">
        <v>45825</v>
      </c>
      <c r="E221" s="48">
        <v>443729</v>
      </c>
      <c r="F221" s="76">
        <v>0.2</v>
      </c>
      <c r="G221" s="83">
        <v>-0.01</v>
      </c>
      <c r="H221" s="78">
        <v>0.21000000000000002</v>
      </c>
      <c r="I221" s="83">
        <v>-0.01</v>
      </c>
      <c r="J221" s="78">
        <v>0.21000000000000002</v>
      </c>
      <c r="K221" s="83">
        <v>0.09</v>
      </c>
      <c r="L221" s="78">
        <v>0.29000000000000004</v>
      </c>
      <c r="M221" s="83">
        <v>0.19</v>
      </c>
      <c r="N221" s="79">
        <v>0.39</v>
      </c>
      <c r="O221" s="53" t="str">
        <f>IF(OR(INDEX([1]Relação_Calibrações_Localização!$F$8:$F$259,MATCH(B221,[1]Relação_Calibrações_Localização!$B$8:$B$259,0))="PERDIDO",INDEX([1]Relação_Calibrações_Localização!F180:F430,MATCH(B221,[1]Relação_Calibrações_Localização!$B$8:$B$259,0))="NÃO LOCALIZADO"),"PERDIDO",
IF(OR(G221="",I221="",K221="",M221=""),"INDETERMINADO",IF(MAX(H221,J221,L221,N221)&lt;=0.5,"APROVADO","REPROVADO")))</f>
        <v>APROVADO</v>
      </c>
      <c r="P221" s="80">
        <v>0.4</v>
      </c>
      <c r="Q221" s="83">
        <v>3.2</v>
      </c>
      <c r="R221" s="79">
        <v>3.6</v>
      </c>
      <c r="S221" s="81">
        <v>1</v>
      </c>
      <c r="T221" s="83">
        <v>0.6</v>
      </c>
      <c r="U221" s="79">
        <v>1.6</v>
      </c>
      <c r="V221" s="80">
        <v>1.5</v>
      </c>
      <c r="W221" s="83">
        <v>-3.1</v>
      </c>
      <c r="X221" s="79">
        <v>4.5999999999999996</v>
      </c>
      <c r="Y221" s="82" t="str">
        <f>IF(OR(INDEX([1]Relação_Calibrações_Localização!$F$8:$F$259,MATCH(B221,[1]Relação_Calibrações_Localização!$B$8:$B$259,0))="PERDIDO",INDEX([1]Relação_Calibrações_Localização!F180:F430,MATCH(B221,[1]Relação_Calibrações_Localização!$B$8:$B$259,0))="NÃO LOCALIZADO"),"PERDIDO",
IF(OR(Q221="",T221="",W221=""),"INDETERMINADO",IF(MAX(R221,U221,X221)&lt;=5,"APROVADO","REPROVADO")))</f>
        <v>APROVADO</v>
      </c>
    </row>
    <row r="222" spans="1:25" x14ac:dyDescent="0.25">
      <c r="A222" s="72">
        <v>37340897</v>
      </c>
      <c r="B222" s="73" t="s">
        <v>250</v>
      </c>
      <c r="C222" s="74">
        <v>45523</v>
      </c>
      <c r="D222" s="75">
        <v>45888</v>
      </c>
      <c r="E222" s="48">
        <v>454968</v>
      </c>
      <c r="F222" s="76">
        <v>0.2</v>
      </c>
      <c r="G222" s="83">
        <v>-0.11</v>
      </c>
      <c r="H222" s="78">
        <v>0.31</v>
      </c>
      <c r="I222" s="83">
        <v>-0.01</v>
      </c>
      <c r="J222" s="78">
        <v>0.21000000000000002</v>
      </c>
      <c r="K222" s="83">
        <v>0.09</v>
      </c>
      <c r="L222" s="78">
        <v>0.29000000000000004</v>
      </c>
      <c r="M222" s="83">
        <v>0.09</v>
      </c>
      <c r="N222" s="79">
        <v>0.29000000000000004</v>
      </c>
      <c r="O222" s="53" t="str">
        <f>IF(OR(INDEX([1]Relação_Calibrações_Localização!$F$8:$F$259,MATCH(B222,[1]Relação_Calibrações_Localização!$B$8:$B$259,0))="PERDIDO",INDEX([1]Relação_Calibrações_Localização!F182:F432,MATCH(B222,[1]Relação_Calibrações_Localização!$B$8:$B$259,0))="NÃO LOCALIZADO"),"PERDIDO",
IF(OR(G222="",I222="",K222="",M222=""),"INDETERMINADO",IF(MAX(H222,J222,L222,N222)&lt;=0.5,"APROVADO","REPROVADO")))</f>
        <v>APROVADO</v>
      </c>
      <c r="P222" s="80">
        <v>0.4</v>
      </c>
      <c r="Q222" s="83">
        <v>3.5</v>
      </c>
      <c r="R222" s="79">
        <v>3.9</v>
      </c>
      <c r="S222" s="81">
        <v>1</v>
      </c>
      <c r="T222" s="83">
        <v>2.1</v>
      </c>
      <c r="U222" s="79">
        <v>3.1</v>
      </c>
      <c r="V222" s="80">
        <v>1.5</v>
      </c>
      <c r="W222" s="83">
        <v>-1.6</v>
      </c>
      <c r="X222" s="79">
        <v>3.1</v>
      </c>
      <c r="Y222" s="82" t="str">
        <f>IF(OR(INDEX([1]Relação_Calibrações_Localização!$F$8:$F$259,MATCH(B222,[1]Relação_Calibrações_Localização!$B$8:$B$259,0))="PERDIDO",INDEX([1]Relação_Calibrações_Localização!F182:F432,MATCH(B222,[1]Relação_Calibrações_Localização!$B$8:$B$259,0))="NÃO LOCALIZADO"),"PERDIDO",
IF(OR(Q222="",T222="",W222=""),"INDETERMINADO",IF(MAX(R222,U222,X222)&lt;=5,"APROVADO","REPROVADO")))</f>
        <v>APROVADO</v>
      </c>
    </row>
    <row r="223" spans="1:25" x14ac:dyDescent="0.25">
      <c r="A223" s="72">
        <v>37340902</v>
      </c>
      <c r="B223" s="73" t="s">
        <v>251</v>
      </c>
      <c r="C223" s="74">
        <v>45523</v>
      </c>
      <c r="D223" s="75">
        <v>45888</v>
      </c>
      <c r="E223" s="48">
        <v>454905</v>
      </c>
      <c r="F223" s="76">
        <v>0.2</v>
      </c>
      <c r="G223" s="83">
        <v>-0.01</v>
      </c>
      <c r="H223" s="78">
        <v>0.21000000000000002</v>
      </c>
      <c r="I223" s="83">
        <v>-0.01</v>
      </c>
      <c r="J223" s="78">
        <v>0.21000000000000002</v>
      </c>
      <c r="K223" s="83">
        <v>-0.01</v>
      </c>
      <c r="L223" s="78">
        <v>0.21000000000000002</v>
      </c>
      <c r="M223" s="83">
        <v>-0.01</v>
      </c>
      <c r="N223" s="79">
        <v>0.21000000000000002</v>
      </c>
      <c r="O223" s="53" t="str">
        <f>IF(OR(INDEX([1]Relação_Calibrações_Localização!$F$8:$F$259,MATCH(B223,[1]Relação_Calibrações_Localização!$B$8:$B$259,0))="PERDIDO",INDEX([1]Relação_Calibrações_Localização!F184:F434,MATCH(B223,[1]Relação_Calibrações_Localização!$B$8:$B$259,0))="NÃO LOCALIZADO"),"PERDIDO",
IF(OR(G223="",I223="",K223="",M223=""),"INDETERMINADO",IF(MAX(H223,J223,L223,N223)&lt;=0.5,"APROVADO","REPROVADO")))</f>
        <v>APROVADO</v>
      </c>
      <c r="P223" s="80">
        <v>0.4</v>
      </c>
      <c r="Q223" s="83">
        <v>3.4</v>
      </c>
      <c r="R223" s="79">
        <v>3.8</v>
      </c>
      <c r="S223" s="81">
        <v>1</v>
      </c>
      <c r="T223" s="83">
        <v>1.1000000000000001</v>
      </c>
      <c r="U223" s="79">
        <v>2.1</v>
      </c>
      <c r="V223" s="80">
        <v>1.5</v>
      </c>
      <c r="W223" s="83">
        <v>-3.5</v>
      </c>
      <c r="X223" s="79">
        <v>5</v>
      </c>
      <c r="Y223" s="82" t="str">
        <f>IF(OR(INDEX([1]Relação_Calibrações_Localização!$F$8:$F$259,MATCH(B223,[1]Relação_Calibrações_Localização!$B$8:$B$259,0))="PERDIDO",INDEX([1]Relação_Calibrações_Localização!F184:F434,MATCH(B223,[1]Relação_Calibrações_Localização!$B$8:$B$259,0))="NÃO LOCALIZADO"),"PERDIDO",
IF(OR(Q223="",T223="",W223=""),"INDETERMINADO",IF(MAX(R223,U223,X223)&lt;=5,"APROVADO","REPROVADO")))</f>
        <v>APROVADO</v>
      </c>
    </row>
    <row r="224" spans="1:25" x14ac:dyDescent="0.25">
      <c r="A224" s="72">
        <v>37341469</v>
      </c>
      <c r="B224" s="73" t="s">
        <v>252</v>
      </c>
      <c r="C224" s="74">
        <v>45523</v>
      </c>
      <c r="D224" s="75">
        <v>45888</v>
      </c>
      <c r="E224" s="48">
        <v>454902</v>
      </c>
      <c r="F224" s="76">
        <v>0.2</v>
      </c>
      <c r="G224" s="83">
        <v>0.09</v>
      </c>
      <c r="H224" s="78">
        <v>0.29000000000000004</v>
      </c>
      <c r="I224" s="83">
        <v>0.09</v>
      </c>
      <c r="J224" s="78">
        <v>0.29000000000000004</v>
      </c>
      <c r="K224" s="83">
        <v>0.09</v>
      </c>
      <c r="L224" s="78">
        <v>0.29000000000000004</v>
      </c>
      <c r="M224" s="83">
        <v>0.09</v>
      </c>
      <c r="N224" s="79">
        <v>0.29000000000000004</v>
      </c>
      <c r="O224" s="53" t="str">
        <f>IF(OR(INDEX([1]Relação_Calibrações_Localização!$F$8:$F$259,MATCH(B224,[1]Relação_Calibrações_Localização!$B$8:$B$259,0))="PERDIDO",INDEX([1]Relação_Calibrações_Localização!F188:F438,MATCH(B224,[1]Relação_Calibrações_Localização!$B$8:$B$259,0))="NÃO LOCALIZADO"),"PERDIDO",
IF(OR(G224="",I224="",K224="",M224=""),"INDETERMINADO",IF(MAX(H224,J224,L224,N224)&lt;=0.5,"APROVADO","REPROVADO")))</f>
        <v>APROVADO</v>
      </c>
      <c r="P224" s="80">
        <v>0.4</v>
      </c>
      <c r="Q224" s="83">
        <v>3.5</v>
      </c>
      <c r="R224" s="79">
        <v>3.9</v>
      </c>
      <c r="S224" s="81">
        <v>1</v>
      </c>
      <c r="T224" s="83">
        <v>1.2</v>
      </c>
      <c r="U224" s="79">
        <v>2.2000000000000002</v>
      </c>
      <c r="V224" s="80">
        <v>1.5</v>
      </c>
      <c r="W224" s="83">
        <v>-3.5</v>
      </c>
      <c r="X224" s="79">
        <v>5</v>
      </c>
      <c r="Y224" s="82" t="str">
        <f>IF(OR(INDEX([1]Relação_Calibrações_Localização!$F$8:$F$259,MATCH(B224,[1]Relação_Calibrações_Localização!$B$8:$B$259,0))="PERDIDO",INDEX([1]Relação_Calibrações_Localização!F188:F438,MATCH(B224,[1]Relação_Calibrações_Localização!$B$8:$B$259,0))="NÃO LOCALIZADO"),"PERDIDO",
IF(OR(Q224="",T224="",W224=""),"INDETERMINADO",IF(MAX(R224,U224,X224)&lt;=5,"APROVADO","REPROVADO")))</f>
        <v>APROVADO</v>
      </c>
    </row>
    <row r="225" spans="1:25" x14ac:dyDescent="0.25">
      <c r="A225" s="72">
        <v>37341510</v>
      </c>
      <c r="B225" s="73" t="s">
        <v>253</v>
      </c>
      <c r="C225" s="74">
        <v>45523</v>
      </c>
      <c r="D225" s="75">
        <v>45888</v>
      </c>
      <c r="E225" s="48">
        <v>454930</v>
      </c>
      <c r="F225" s="76">
        <v>0.2</v>
      </c>
      <c r="G225" s="83">
        <v>-0.01</v>
      </c>
      <c r="H225" s="78">
        <v>0.21000000000000002</v>
      </c>
      <c r="I225" s="83">
        <v>0.09</v>
      </c>
      <c r="J225" s="78">
        <v>0.29000000000000004</v>
      </c>
      <c r="K225" s="83">
        <v>0.09</v>
      </c>
      <c r="L225" s="78">
        <v>0.29000000000000004</v>
      </c>
      <c r="M225" s="83">
        <v>0.09</v>
      </c>
      <c r="N225" s="79">
        <v>0.29000000000000004</v>
      </c>
      <c r="O225" s="53" t="str">
        <f>IF(OR(INDEX([1]Relação_Calibrações_Localização!$F$8:$F$259,MATCH(B225,[1]Relação_Calibrações_Localização!$B$8:$B$259,0))="PERDIDO",INDEX([1]Relação_Calibrações_Localização!F190:F440,MATCH(B225,[1]Relação_Calibrações_Localização!$B$8:$B$259,0))="NÃO LOCALIZADO"),"PERDIDO",
IF(OR(G225="",I225="",K225="",M225=""),"INDETERMINADO",IF(MAX(H225,J225,L225,N225)&lt;=0.5,"APROVADO","REPROVADO")))</f>
        <v>APROVADO</v>
      </c>
      <c r="P225" s="80">
        <v>0.4</v>
      </c>
      <c r="Q225" s="83">
        <v>3.5</v>
      </c>
      <c r="R225" s="79">
        <v>3.9</v>
      </c>
      <c r="S225" s="81">
        <v>1</v>
      </c>
      <c r="T225" s="83">
        <v>0.1</v>
      </c>
      <c r="U225" s="79">
        <v>1.1000000000000001</v>
      </c>
      <c r="V225" s="80">
        <v>1.5</v>
      </c>
      <c r="W225" s="83">
        <v>-3.5</v>
      </c>
      <c r="X225" s="79">
        <v>5</v>
      </c>
      <c r="Y225" s="82" t="str">
        <f>IF(OR(INDEX([1]Relação_Calibrações_Localização!$F$8:$F$259,MATCH(B225,[1]Relação_Calibrações_Localização!$B$8:$B$259,0))="PERDIDO",INDEX([1]Relação_Calibrações_Localização!F190:F440,MATCH(B225,[1]Relação_Calibrações_Localização!$B$8:$B$259,0))="NÃO LOCALIZADO"),"PERDIDO",
IF(OR(Q225="",T225="",W225=""),"INDETERMINADO",IF(MAX(R225,U225,X225)&lt;=5,"APROVADO","REPROVADO")))</f>
        <v>APROVADO</v>
      </c>
    </row>
    <row r="226" spans="1:25" x14ac:dyDescent="0.25">
      <c r="A226" s="72">
        <v>37341513</v>
      </c>
      <c r="B226" s="73" t="s">
        <v>254</v>
      </c>
      <c r="C226" s="74">
        <v>45523</v>
      </c>
      <c r="D226" s="75">
        <v>45888</v>
      </c>
      <c r="E226" s="48">
        <v>454970</v>
      </c>
      <c r="F226" s="76">
        <v>0.2</v>
      </c>
      <c r="G226" s="83">
        <v>-0.11</v>
      </c>
      <c r="H226" s="78">
        <v>0.31</v>
      </c>
      <c r="I226" s="83">
        <v>-0.01</v>
      </c>
      <c r="J226" s="78">
        <v>0.21000000000000002</v>
      </c>
      <c r="K226" s="83">
        <v>-0.01</v>
      </c>
      <c r="L226" s="78">
        <v>0.21000000000000002</v>
      </c>
      <c r="M226" s="83">
        <v>0.09</v>
      </c>
      <c r="N226" s="79">
        <v>0.29000000000000004</v>
      </c>
      <c r="O226" s="53" t="str">
        <f>IF(OR(INDEX([1]Relação_Calibrações_Localização!$F$8:$F$259,MATCH(B226,[1]Relação_Calibrações_Localização!$B$8:$B$259,0))="PERDIDO",INDEX([1]Relação_Calibrações_Localização!F191:F441,MATCH(B226,[1]Relação_Calibrações_Localização!$B$8:$B$259,0))="NÃO LOCALIZADO"),"PERDIDO",
IF(OR(G226="",I226="",K226="",M226=""),"INDETERMINADO",IF(MAX(H226,J226,L226,N226)&lt;=0.5,"APROVADO","REPROVADO")))</f>
        <v>APROVADO</v>
      </c>
      <c r="P226" s="80">
        <v>0.4</v>
      </c>
      <c r="Q226" s="83">
        <v>3.5</v>
      </c>
      <c r="R226" s="79">
        <v>3.9</v>
      </c>
      <c r="S226" s="81">
        <v>1</v>
      </c>
      <c r="T226" s="83">
        <v>0.9</v>
      </c>
      <c r="U226" s="79">
        <v>1.9</v>
      </c>
      <c r="V226" s="80">
        <v>1.5</v>
      </c>
      <c r="W226" s="83">
        <v>-3.5</v>
      </c>
      <c r="X226" s="79">
        <v>5</v>
      </c>
      <c r="Y226" s="82" t="str">
        <f>IF(OR(INDEX([1]Relação_Calibrações_Localização!$F$8:$F$259,MATCH(B226,[1]Relação_Calibrações_Localização!$B$8:$B$259,0))="PERDIDO",INDEX([1]Relação_Calibrações_Localização!F191:F441,MATCH(B226,[1]Relação_Calibrações_Localização!$B$8:$B$259,0))="NÃO LOCALIZADO"),"PERDIDO",
IF(OR(Q226="",T226="",W226=""),"INDETERMINADO",IF(MAX(R226,U226,X226)&lt;=5,"APROVADO","REPROVADO")))</f>
        <v>APROVADO</v>
      </c>
    </row>
    <row r="227" spans="1:25" x14ac:dyDescent="0.25">
      <c r="A227" s="72">
        <v>37341524</v>
      </c>
      <c r="B227" s="73" t="s">
        <v>255</v>
      </c>
      <c r="C227" s="74">
        <v>45523</v>
      </c>
      <c r="D227" s="75">
        <v>45888</v>
      </c>
      <c r="E227" s="48">
        <v>454971</v>
      </c>
      <c r="F227" s="76">
        <v>0.2</v>
      </c>
      <c r="G227" s="83">
        <v>-0.11</v>
      </c>
      <c r="H227" s="78">
        <v>0.31</v>
      </c>
      <c r="I227" s="83">
        <v>-0.01</v>
      </c>
      <c r="J227" s="78">
        <v>0.21000000000000002</v>
      </c>
      <c r="K227" s="83">
        <v>-0.01</v>
      </c>
      <c r="L227" s="78">
        <v>0.21000000000000002</v>
      </c>
      <c r="M227" s="83">
        <v>0.09</v>
      </c>
      <c r="N227" s="79">
        <v>0.29000000000000004</v>
      </c>
      <c r="O227" s="53" t="str">
        <f>IF(OR(INDEX([1]Relação_Calibrações_Localização!$F$8:$F$259,MATCH(B227,[1]Relação_Calibrações_Localização!$B$8:$B$259,0))="PERDIDO",INDEX([1]Relação_Calibrações_Localização!F193:F443,MATCH(B227,[1]Relação_Calibrações_Localização!$B$8:$B$259,0))="NÃO LOCALIZADO"),"PERDIDO",
IF(OR(G227="",I227="",K227="",M227=""),"INDETERMINADO",IF(MAX(H227,J227,L227,N227)&lt;=0.5,"APROVADO","REPROVADO")))</f>
        <v>APROVADO</v>
      </c>
      <c r="P227" s="80">
        <v>0.4</v>
      </c>
      <c r="Q227" s="83">
        <v>3.5</v>
      </c>
      <c r="R227" s="79">
        <v>3.9</v>
      </c>
      <c r="S227" s="81">
        <v>1</v>
      </c>
      <c r="T227" s="83">
        <v>1.3</v>
      </c>
      <c r="U227" s="79">
        <v>2.2999999999999998</v>
      </c>
      <c r="V227" s="80">
        <v>1.5</v>
      </c>
      <c r="W227" s="83">
        <v>-3.5</v>
      </c>
      <c r="X227" s="79">
        <v>5</v>
      </c>
      <c r="Y227" s="82" t="str">
        <f>IF(OR(INDEX([1]Relação_Calibrações_Localização!$F$8:$F$259,MATCH(B227,[1]Relação_Calibrações_Localização!$B$8:$B$259,0))="PERDIDO",INDEX([1]Relação_Calibrações_Localização!F193:F443,MATCH(B227,[1]Relação_Calibrações_Localização!$B$8:$B$259,0))="NÃO LOCALIZADO"),"PERDIDO",
IF(OR(Q227="",T227="",W227=""),"INDETERMINADO",IF(MAX(R227,U227,X227)&lt;=5,"APROVADO","REPROVADO")))</f>
        <v>APROVADO</v>
      </c>
    </row>
    <row r="228" spans="1:25" x14ac:dyDescent="0.25">
      <c r="A228" s="72">
        <v>37341529</v>
      </c>
      <c r="B228" s="73" t="s">
        <v>256</v>
      </c>
      <c r="C228" s="74">
        <v>45523</v>
      </c>
      <c r="D228" s="75">
        <v>45888</v>
      </c>
      <c r="E228" s="48">
        <v>454972</v>
      </c>
      <c r="F228" s="76">
        <v>0.2</v>
      </c>
      <c r="G228" s="83">
        <v>-0.11</v>
      </c>
      <c r="H228" s="78">
        <v>0.31</v>
      </c>
      <c r="I228" s="83">
        <v>-0.01</v>
      </c>
      <c r="J228" s="78">
        <v>0.21000000000000002</v>
      </c>
      <c r="K228" s="83">
        <v>0.09</v>
      </c>
      <c r="L228" s="78">
        <v>0.29000000000000004</v>
      </c>
      <c r="M228" s="83">
        <v>0.09</v>
      </c>
      <c r="N228" s="79">
        <v>0.29000000000000004</v>
      </c>
      <c r="O228" s="53" t="str">
        <f>IF(OR(INDEX([1]Relação_Calibrações_Localização!$F$8:$F$259,MATCH(B228,[1]Relação_Calibrações_Localização!$B$8:$B$259,0))="PERDIDO",INDEX([1]Relação_Calibrações_Localização!F194:F444,MATCH(B228,[1]Relação_Calibrações_Localização!$B$8:$B$259,0))="NÃO LOCALIZADO"),"PERDIDO",
IF(OR(G228="",I228="",K228="",M228=""),"INDETERMINADO",IF(MAX(H228,J228,L228,N228)&lt;=0.5,"APROVADO","REPROVADO")))</f>
        <v>APROVADO</v>
      </c>
      <c r="P228" s="80">
        <v>0.4</v>
      </c>
      <c r="Q228" s="83">
        <v>3.5</v>
      </c>
      <c r="R228" s="79">
        <v>3.9</v>
      </c>
      <c r="S228" s="81">
        <v>1</v>
      </c>
      <c r="T228" s="83">
        <v>0.9</v>
      </c>
      <c r="U228" s="79">
        <v>1.9</v>
      </c>
      <c r="V228" s="80">
        <v>1.5</v>
      </c>
      <c r="W228" s="83">
        <v>-3.3</v>
      </c>
      <c r="X228" s="79">
        <v>4.8</v>
      </c>
      <c r="Y228" s="82" t="str">
        <f>IF(OR(INDEX([1]Relação_Calibrações_Localização!$F$8:$F$259,MATCH(B228,[1]Relação_Calibrações_Localização!$B$8:$B$259,0))="PERDIDO",INDEX([1]Relação_Calibrações_Localização!F194:F444,MATCH(B228,[1]Relação_Calibrações_Localização!$B$8:$B$259,0))="NÃO LOCALIZADO"),"PERDIDO",
IF(OR(Q228="",T228="",W228=""),"INDETERMINADO",IF(MAX(R228,U228,X228)&lt;=5,"APROVADO","REPROVADO")))</f>
        <v>APROVADO</v>
      </c>
    </row>
    <row r="229" spans="1:25" x14ac:dyDescent="0.25">
      <c r="A229" s="72">
        <v>37341556</v>
      </c>
      <c r="B229" s="73" t="s">
        <v>257</v>
      </c>
      <c r="C229" s="74">
        <v>45460</v>
      </c>
      <c r="D229" s="75">
        <v>45825</v>
      </c>
      <c r="E229" s="48">
        <v>443727</v>
      </c>
      <c r="F229" s="76">
        <v>0.2</v>
      </c>
      <c r="G229" s="83">
        <v>-0.01</v>
      </c>
      <c r="H229" s="78">
        <v>0.21000000000000002</v>
      </c>
      <c r="I229" s="83">
        <v>-0.01</v>
      </c>
      <c r="J229" s="78">
        <v>0.21000000000000002</v>
      </c>
      <c r="K229" s="83">
        <v>0.09</v>
      </c>
      <c r="L229" s="78">
        <v>0.29000000000000004</v>
      </c>
      <c r="M229" s="83">
        <v>0.19</v>
      </c>
      <c r="N229" s="79">
        <v>0.39</v>
      </c>
      <c r="O229" s="53" t="str">
        <f>IF(OR(INDEX([1]Relação_Calibrações_Localização!$F$8:$F$259,MATCH(B229,[1]Relação_Calibrações_Localização!$B$8:$B$259,0))="PERDIDO",INDEX([1]Relação_Calibrações_Localização!F196:F446,MATCH(B229,[1]Relação_Calibrações_Localização!$B$8:$B$259,0))="NÃO LOCALIZADO"),"PERDIDO",
IF(OR(G229="",I229="",K229="",M229=""),"INDETERMINADO",IF(MAX(H229,J229,L229,N229)&lt;=0.5,"APROVADO","REPROVADO")))</f>
        <v>APROVADO</v>
      </c>
      <c r="P229" s="80">
        <v>0.4</v>
      </c>
      <c r="Q229" s="83">
        <v>3.2</v>
      </c>
      <c r="R229" s="79">
        <v>3.6</v>
      </c>
      <c r="S229" s="81">
        <v>1</v>
      </c>
      <c r="T229" s="83">
        <v>0.6</v>
      </c>
      <c r="U229" s="79">
        <v>1.6</v>
      </c>
      <c r="V229" s="80">
        <v>1.5</v>
      </c>
      <c r="W229" s="83">
        <v>-3.2</v>
      </c>
      <c r="X229" s="79">
        <v>4.7</v>
      </c>
      <c r="Y229" s="82" t="str">
        <f>IF(OR(INDEX([1]Relação_Calibrações_Localização!$F$8:$F$259,MATCH(B229,[1]Relação_Calibrações_Localização!$B$8:$B$259,0))="PERDIDO",INDEX([1]Relação_Calibrações_Localização!F196:F446,MATCH(B229,[1]Relação_Calibrações_Localização!$B$8:$B$259,0))="NÃO LOCALIZADO"),"PERDIDO",
IF(OR(Q229="",T229="",W229=""),"INDETERMINADO",IF(MAX(R229,U229,X229)&lt;=5,"APROVADO","REPROVADO")))</f>
        <v>APROVADO</v>
      </c>
    </row>
    <row r="230" spans="1:25" x14ac:dyDescent="0.25">
      <c r="A230" s="72">
        <v>37341705</v>
      </c>
      <c r="B230" s="73" t="s">
        <v>258</v>
      </c>
      <c r="C230" s="74">
        <v>45523</v>
      </c>
      <c r="D230" s="75">
        <v>45888</v>
      </c>
      <c r="E230" s="48">
        <v>454928</v>
      </c>
      <c r="F230" s="76">
        <v>0.2</v>
      </c>
      <c r="G230" s="83">
        <v>-0.01</v>
      </c>
      <c r="H230" s="78">
        <v>0.21000000000000002</v>
      </c>
      <c r="I230" s="83">
        <v>0.09</v>
      </c>
      <c r="J230" s="78">
        <v>0.29000000000000004</v>
      </c>
      <c r="K230" s="83">
        <v>0.09</v>
      </c>
      <c r="L230" s="78">
        <v>0.29000000000000004</v>
      </c>
      <c r="M230" s="83">
        <v>0.19</v>
      </c>
      <c r="N230" s="79">
        <v>0.39</v>
      </c>
      <c r="O230" s="53" t="str">
        <f>IF(OR(INDEX([1]Relação_Calibrações_Localização!$F$8:$F$259,MATCH(B230,[1]Relação_Calibrações_Localização!$B$8:$B$259,0))="PERDIDO",INDEX([1]Relação_Calibrações_Localização!F200:F450,MATCH(B230,[1]Relação_Calibrações_Localização!$B$8:$B$259,0))="NÃO LOCALIZADO"),"PERDIDO",
IF(OR(G230="",I230="",K230="",M230=""),"INDETERMINADO",IF(MAX(H230,J230,L230,N230)&lt;=0.5,"APROVADO","REPROVADO")))</f>
        <v>APROVADO</v>
      </c>
      <c r="P230" s="80">
        <v>0.4</v>
      </c>
      <c r="Q230" s="83">
        <v>3.5</v>
      </c>
      <c r="R230" s="79">
        <v>3.9</v>
      </c>
      <c r="S230" s="81">
        <v>1</v>
      </c>
      <c r="T230" s="83">
        <v>0</v>
      </c>
      <c r="U230" s="79">
        <v>1</v>
      </c>
      <c r="V230" s="80">
        <v>1.5</v>
      </c>
      <c r="W230" s="83">
        <v>-3.5</v>
      </c>
      <c r="X230" s="79">
        <v>5</v>
      </c>
      <c r="Y230" s="82" t="str">
        <f>IF(OR(INDEX([1]Relação_Calibrações_Localização!$F$8:$F$259,MATCH(B230,[1]Relação_Calibrações_Localização!$B$8:$B$259,0))="PERDIDO",INDEX([1]Relação_Calibrações_Localização!F200:F450,MATCH(B230,[1]Relação_Calibrações_Localização!$B$8:$B$259,0))="NÃO LOCALIZADO"),"PERDIDO",
IF(OR(Q230="",T230="",W230=""),"INDETERMINADO",IF(MAX(R230,U230,X230)&lt;=5,"APROVADO","REPROVADO")))</f>
        <v>APROVADO</v>
      </c>
    </row>
    <row r="231" spans="1:25" x14ac:dyDescent="0.25">
      <c r="A231" s="72">
        <v>37341752</v>
      </c>
      <c r="B231" s="73" t="s">
        <v>259</v>
      </c>
      <c r="C231" s="74">
        <v>44806</v>
      </c>
      <c r="D231" s="75">
        <f>EDATE(C231,12)</f>
        <v>45171</v>
      </c>
      <c r="E231" s="48">
        <v>349128</v>
      </c>
      <c r="F231" s="76">
        <v>0.15</v>
      </c>
      <c r="G231" s="83">
        <v>0.1</v>
      </c>
      <c r="H231" s="78">
        <f>ABS(G231)+F231</f>
        <v>0.25</v>
      </c>
      <c r="I231" s="83">
        <v>0</v>
      </c>
      <c r="J231" s="78">
        <f>ABS(I231)+F231</f>
        <v>0.15</v>
      </c>
      <c r="K231" s="83">
        <v>0</v>
      </c>
      <c r="L231" s="78">
        <f>ABS(K231)+F231</f>
        <v>0.15</v>
      </c>
      <c r="M231" s="83">
        <v>0</v>
      </c>
      <c r="N231" s="79">
        <f>ABS(M231)+F231</f>
        <v>0.15</v>
      </c>
      <c r="O231" s="53" t="str">
        <f>IF(OR(INDEX([1]Relação_Calibrações_Localização!$F$8:$F$259,MATCH(B231,[1]Relação_Calibrações_Localização!$B$8:$B$259,0))="PERDIDO",INDEX([1]Relação_Calibrações_Localização!F202:F452,MATCH(B231,[1]Relação_Calibrações_Localização!$B$8:$B$259,0))="NÃO LOCALIZADO"),"PERDIDO",
IF(OR(G231="",I231="",K231="",M231=""),"INDETERMINADO",IF(MAX(H231,J231,L231,N231)&lt;=0.5,"APROVADO","REPROVADO")))</f>
        <v>APROVADO</v>
      </c>
      <c r="P231" s="80">
        <v>0.4</v>
      </c>
      <c r="Q231" s="83">
        <v>1.9</v>
      </c>
      <c r="R231" s="79">
        <f>ABS(Q231)+P231</f>
        <v>2.2999999999999998</v>
      </c>
      <c r="S231" s="81">
        <v>1</v>
      </c>
      <c r="T231" s="83">
        <v>0.6</v>
      </c>
      <c r="U231" s="79">
        <f>ABS(T231)+S231</f>
        <v>1.6</v>
      </c>
      <c r="V231" s="80">
        <v>1.5</v>
      </c>
      <c r="W231" s="83">
        <v>-4.4000000000000004</v>
      </c>
      <c r="X231" s="79">
        <f>ABS(W231)+V231</f>
        <v>5.9</v>
      </c>
      <c r="Y231" s="82" t="str">
        <f>IF(OR(INDEX([1]Relação_Calibrações_Localização!$F$8:$F$259,MATCH(B231,[1]Relação_Calibrações_Localização!$B$8:$B$259,0))="PERDIDO",INDEX([1]Relação_Calibrações_Localização!F202:F452,MATCH(B231,[1]Relação_Calibrações_Localização!$B$8:$B$259,0))="NÃO LOCALIZADO"),"PERDIDO",
IF(OR(Q231="",T231="",W231=""),"INDETERMINADO",IF(MAX(R231,U231,X231)&lt;=5,"APROVADO","REPROVADO")))</f>
        <v>REPROVADO</v>
      </c>
    </row>
    <row r="232" spans="1:25" x14ac:dyDescent="0.25">
      <c r="A232" s="72">
        <v>37341790</v>
      </c>
      <c r="B232" s="73" t="s">
        <v>260</v>
      </c>
      <c r="C232" s="74">
        <v>45523</v>
      </c>
      <c r="D232" s="75">
        <v>45888</v>
      </c>
      <c r="E232" s="48">
        <v>454918</v>
      </c>
      <c r="F232" s="76">
        <v>0.2</v>
      </c>
      <c r="G232" s="83">
        <v>-0.01</v>
      </c>
      <c r="H232" s="78">
        <v>0.21000000000000002</v>
      </c>
      <c r="I232" s="83">
        <v>-0.01</v>
      </c>
      <c r="J232" s="78">
        <v>0.21000000000000002</v>
      </c>
      <c r="K232" s="83">
        <v>-0.01</v>
      </c>
      <c r="L232" s="78">
        <v>0.21000000000000002</v>
      </c>
      <c r="M232" s="83">
        <v>-0.01</v>
      </c>
      <c r="N232" s="79">
        <v>0.21000000000000002</v>
      </c>
      <c r="O232" s="53" t="str">
        <f>IF(OR(INDEX([1]Relação_Calibrações_Localização!$F$8:$F$259,MATCH(B232,[1]Relação_Calibrações_Localização!$B$8:$B$259,0))="PERDIDO",INDEX([1]Relação_Calibrações_Localização!F203:F453,MATCH(B232,[1]Relação_Calibrações_Localização!$B$8:$B$259,0))="NÃO LOCALIZADO"),"PERDIDO",
IF(OR(G232="",I232="",K232="",M232=""),"INDETERMINADO",IF(MAX(H232,J232,L232,N232)&lt;=0.5,"APROVADO","REPROVADO")))</f>
        <v>APROVADO</v>
      </c>
      <c r="P232" s="80">
        <v>0.4</v>
      </c>
      <c r="Q232" s="83">
        <v>3.5</v>
      </c>
      <c r="R232" s="79">
        <v>3.9</v>
      </c>
      <c r="S232" s="81">
        <v>1</v>
      </c>
      <c r="T232" s="83">
        <v>0.6</v>
      </c>
      <c r="U232" s="79">
        <v>1.6</v>
      </c>
      <c r="V232" s="80">
        <v>1.5</v>
      </c>
      <c r="W232" s="83">
        <v>-3.5</v>
      </c>
      <c r="X232" s="79">
        <v>5</v>
      </c>
      <c r="Y232" s="82" t="str">
        <f>IF(OR(INDEX([1]Relação_Calibrações_Localização!$F$8:$F$259,MATCH(B232,[1]Relação_Calibrações_Localização!$B$8:$B$259,0))="PERDIDO",INDEX([1]Relação_Calibrações_Localização!F203:F453,MATCH(B232,[1]Relação_Calibrações_Localização!$B$8:$B$259,0))="NÃO LOCALIZADO"),"PERDIDO",
IF(OR(Q232="",T232="",W232=""),"INDETERMINADO",IF(MAX(R232,U232,X232)&lt;=5,"APROVADO","REPROVADO")))</f>
        <v>APROVADO</v>
      </c>
    </row>
    <row r="233" spans="1:25" x14ac:dyDescent="0.25">
      <c r="A233" s="72">
        <v>37341794</v>
      </c>
      <c r="B233" s="73" t="s">
        <v>261</v>
      </c>
      <c r="C233" s="74">
        <v>44286</v>
      </c>
      <c r="D233" s="75">
        <f>EDATE(C233,12)</f>
        <v>44651</v>
      </c>
      <c r="E233" s="48">
        <v>286438</v>
      </c>
      <c r="F233" s="76">
        <v>0.15</v>
      </c>
      <c r="G233" s="83"/>
      <c r="H233" s="78">
        <f>ABS(G233)+F233</f>
        <v>0.15</v>
      </c>
      <c r="I233" s="83"/>
      <c r="J233" s="78">
        <f>ABS(I233)+F233</f>
        <v>0.15</v>
      </c>
      <c r="K233" s="83"/>
      <c r="L233" s="78">
        <f>ABS(K233)+F233</f>
        <v>0.15</v>
      </c>
      <c r="M233" s="83"/>
      <c r="N233" s="79">
        <f>ABS(M233)+F233</f>
        <v>0.15</v>
      </c>
      <c r="O233" s="53" t="str">
        <f>IF(OR(INDEX([1]Relação_Calibrações_Localização!$F$8:$F$259,MATCH(B233,[1]Relação_Calibrações_Localização!$B$8:$B$259,0))="PERDIDO",INDEX([1]Relação_Calibrações_Localização!F205:F455,MATCH(B233,[1]Relação_Calibrações_Localização!$B$8:$B$259,0))="NÃO LOCALIZADO"),"PERDIDO",
IF(OR(G233="",I233="",K233="",M233=""),"INDETERMINADO",IF(MAX(H233,J233,L233,N233)&lt;=0.5,"APROVADO","REPROVADO")))</f>
        <v>INDETERMINADO</v>
      </c>
      <c r="P233" s="80">
        <v>0.4</v>
      </c>
      <c r="Q233" s="83"/>
      <c r="R233" s="79">
        <f>ABS(Q233)+P233</f>
        <v>0.4</v>
      </c>
      <c r="S233" s="81">
        <v>1</v>
      </c>
      <c r="T233" s="83"/>
      <c r="U233" s="79">
        <f>ABS(T233)+S233</f>
        <v>1</v>
      </c>
      <c r="V233" s="80">
        <v>1.5</v>
      </c>
      <c r="W233" s="83"/>
      <c r="X233" s="79">
        <f>ABS(W233)+V233</f>
        <v>1.5</v>
      </c>
      <c r="Y233" s="82" t="str">
        <f>IF(OR(INDEX([1]Relação_Calibrações_Localização!$F$8:$F$259,MATCH(B233,[1]Relação_Calibrações_Localização!$B$8:$B$259,0))="PERDIDO",INDEX([1]Relação_Calibrações_Localização!F205:F455,MATCH(B233,[1]Relação_Calibrações_Localização!$B$8:$B$259,0))="NÃO LOCALIZADO"),"PERDIDO",
IF(OR(Q233="",T233="",W233=""),"INDETERMINADO",IF(MAX(R233,U233,X233)&lt;=5,"APROVADO","REPROVADO")))</f>
        <v>INDETERMINADO</v>
      </c>
    </row>
    <row r="234" spans="1:25" x14ac:dyDescent="0.25">
      <c r="A234" s="72">
        <v>37341796</v>
      </c>
      <c r="B234" s="73" t="s">
        <v>262</v>
      </c>
      <c r="C234" s="74">
        <v>45460</v>
      </c>
      <c r="D234" s="75">
        <v>45825</v>
      </c>
      <c r="E234" s="48">
        <v>443744</v>
      </c>
      <c r="F234" s="76">
        <v>0.2</v>
      </c>
      <c r="G234" s="83">
        <v>-0.01</v>
      </c>
      <c r="H234" s="78">
        <v>0.21000000000000002</v>
      </c>
      <c r="I234" s="83">
        <v>-0.01</v>
      </c>
      <c r="J234" s="78">
        <v>0.21000000000000002</v>
      </c>
      <c r="K234" s="83">
        <v>0.09</v>
      </c>
      <c r="L234" s="78">
        <v>0.29000000000000004</v>
      </c>
      <c r="M234" s="83">
        <v>0.19</v>
      </c>
      <c r="N234" s="79">
        <v>0.39</v>
      </c>
      <c r="O234" s="53" t="str">
        <f>IF(OR(INDEX([1]Relação_Calibrações_Localização!$F$8:$F$259,MATCH(B234,[1]Relação_Calibrações_Localização!$B$8:$B$259,0))="PERDIDO",INDEX([1]Relação_Calibrações_Localização!F207:F457,MATCH(B234,[1]Relação_Calibrações_Localização!$B$8:$B$259,0))="NÃO LOCALIZADO"),"PERDIDO",
IF(OR(G234="",I234="",K234="",M234=""),"INDETERMINADO",IF(MAX(H234,J234,L234,N234)&lt;=0.5,"APROVADO","REPROVADO")))</f>
        <v>APROVADO</v>
      </c>
      <c r="P234" s="80">
        <v>0.4</v>
      </c>
      <c r="Q234" s="83">
        <v>3.4</v>
      </c>
      <c r="R234" s="79">
        <v>3.8</v>
      </c>
      <c r="S234" s="81">
        <v>1</v>
      </c>
      <c r="T234" s="83">
        <v>0.5</v>
      </c>
      <c r="U234" s="79">
        <v>1.5</v>
      </c>
      <c r="V234" s="80">
        <v>1.5</v>
      </c>
      <c r="W234" s="83">
        <v>-3.4</v>
      </c>
      <c r="X234" s="79">
        <v>4.9000000000000004</v>
      </c>
      <c r="Y234" s="82" t="str">
        <f>IF(OR(INDEX([1]Relação_Calibrações_Localização!$F$8:$F$259,MATCH(B234,[1]Relação_Calibrações_Localização!$B$8:$B$259,0))="PERDIDO",INDEX([1]Relação_Calibrações_Localização!F207:F457,MATCH(B234,[1]Relação_Calibrações_Localização!$B$8:$B$259,0))="NÃO LOCALIZADO"),"PERDIDO",
IF(OR(Q234="",T234="",W234=""),"INDETERMINADO",IF(MAX(R234,U234,X234)&lt;=5,"APROVADO","REPROVADO")))</f>
        <v>APROVADO</v>
      </c>
    </row>
    <row r="235" spans="1:25" x14ac:dyDescent="0.25">
      <c r="A235" s="72">
        <v>37341802</v>
      </c>
      <c r="B235" s="73" t="s">
        <v>263</v>
      </c>
      <c r="C235" s="74">
        <v>44984</v>
      </c>
      <c r="D235" s="75">
        <v>45349</v>
      </c>
      <c r="E235" s="48">
        <v>370180</v>
      </c>
      <c r="F235" s="76">
        <v>0.15</v>
      </c>
      <c r="G235" s="83">
        <v>0</v>
      </c>
      <c r="H235" s="78">
        <v>0.15</v>
      </c>
      <c r="I235" s="83">
        <v>0</v>
      </c>
      <c r="J235" s="78">
        <v>0.15</v>
      </c>
      <c r="K235" s="83">
        <v>0.1</v>
      </c>
      <c r="L235" s="78">
        <v>0.25</v>
      </c>
      <c r="M235" s="83">
        <v>0.1</v>
      </c>
      <c r="N235" s="79">
        <v>0.25</v>
      </c>
      <c r="O235" s="53" t="str">
        <f>IF(OR(INDEX([1]Relação_Calibrações_Localização!$F$8:$F$259,MATCH(B235,[1]Relação_Calibrações_Localização!$B$8:$B$259,0))="PERDIDO",INDEX([1]Relação_Calibrações_Localização!F211:F461,MATCH(B235,[1]Relação_Calibrações_Localização!$B$8:$B$259,0))="NÃO LOCALIZADO"),"PERDIDO",
IF(OR(G235="",I235="",K235="",M235=""),"INDETERMINADO",IF(MAX(H235,J235,L235,N235)&lt;=0.5,"APROVADO","REPROVADO")))</f>
        <v>APROVADO</v>
      </c>
      <c r="P235" s="80">
        <v>2.5</v>
      </c>
      <c r="Q235" s="83">
        <v>0.4</v>
      </c>
      <c r="R235" s="79">
        <v>2.9</v>
      </c>
      <c r="S235" s="81">
        <v>2</v>
      </c>
      <c r="T235" s="83">
        <v>1</v>
      </c>
      <c r="U235" s="79">
        <v>3</v>
      </c>
      <c r="V235" s="80">
        <v>-2.2999999999999998</v>
      </c>
      <c r="W235" s="83">
        <v>1.5</v>
      </c>
      <c r="X235" s="79">
        <v>3.8</v>
      </c>
      <c r="Y235" s="82" t="str">
        <f>IF(OR(INDEX([1]Relação_Calibrações_Localização!$F$8:$F$259,MATCH(B235,[1]Relação_Calibrações_Localização!$B$8:$B$259,0))="PERDIDO",INDEX([1]Relação_Calibrações_Localização!F211:F461,MATCH(B235,[1]Relação_Calibrações_Localização!$B$8:$B$259,0))="NÃO LOCALIZADO"),"PERDIDO",
IF(OR(Q235="",T235="",W235=""),"INDETERMINADO",IF(MAX(R235,U235,X235)&lt;=5,"APROVADO","REPROVADO")))</f>
        <v>APROVADO</v>
      </c>
    </row>
    <row r="236" spans="1:25" x14ac:dyDescent="0.25">
      <c r="A236" s="72">
        <v>37341804</v>
      </c>
      <c r="B236" s="73" t="s">
        <v>264</v>
      </c>
      <c r="C236" s="74">
        <v>45460</v>
      </c>
      <c r="D236" s="75">
        <v>45825</v>
      </c>
      <c r="E236" s="48">
        <v>443747</v>
      </c>
      <c r="F236" s="76">
        <v>0.2</v>
      </c>
      <c r="G236" s="83">
        <v>-0.01</v>
      </c>
      <c r="H236" s="78">
        <v>0.21000000000000002</v>
      </c>
      <c r="I236" s="83">
        <v>-0.01</v>
      </c>
      <c r="J236" s="78">
        <v>0.21000000000000002</v>
      </c>
      <c r="K236" s="83">
        <v>0.09</v>
      </c>
      <c r="L236" s="78">
        <v>0.29000000000000004</v>
      </c>
      <c r="M236" s="83">
        <v>0.19</v>
      </c>
      <c r="N236" s="79">
        <v>0.39</v>
      </c>
      <c r="O236" s="53" t="str">
        <f>IF(OR(INDEX([1]Relação_Calibrações_Localização!$F$8:$F$259,MATCH(B236,[1]Relação_Calibrações_Localização!$B$8:$B$259,0))="PERDIDO",INDEX([1]Relação_Calibrações_Localização!F212:F462,MATCH(B236,[1]Relação_Calibrações_Localização!$B$8:$B$259,0))="NÃO LOCALIZADO"),"PERDIDO",
IF(OR(G236="",I236="",K236="",M236=""),"INDETERMINADO",IF(MAX(H236,J236,L236,N236)&lt;=0.5,"APROVADO","REPROVADO")))</f>
        <v>APROVADO</v>
      </c>
      <c r="P236" s="80">
        <v>0.4</v>
      </c>
      <c r="Q236" s="83">
        <v>3.3</v>
      </c>
      <c r="R236" s="79">
        <v>3.6999999999999997</v>
      </c>
      <c r="S236" s="81">
        <v>1</v>
      </c>
      <c r="T236" s="83">
        <v>0.8</v>
      </c>
      <c r="U236" s="79">
        <v>1.8</v>
      </c>
      <c r="V236" s="80">
        <v>1.5</v>
      </c>
      <c r="W236" s="83">
        <v>-3.3</v>
      </c>
      <c r="X236" s="79">
        <v>4.8</v>
      </c>
      <c r="Y236" s="82" t="str">
        <f>IF(OR(INDEX([1]Relação_Calibrações_Localização!$F$8:$F$259,MATCH(B236,[1]Relação_Calibrações_Localização!$B$8:$B$259,0))="PERDIDO",INDEX([1]Relação_Calibrações_Localização!F212:F462,MATCH(B236,[1]Relação_Calibrações_Localização!$B$8:$B$259,0))="NÃO LOCALIZADO"),"PERDIDO",
IF(OR(Q236="",T236="",W236=""),"INDETERMINADO",IF(MAX(R236,U236,X236)&lt;=5,"APROVADO","REPROVADO")))</f>
        <v>APROVADO</v>
      </c>
    </row>
    <row r="237" spans="1:25" x14ac:dyDescent="0.25">
      <c r="A237" s="72">
        <v>37341805</v>
      </c>
      <c r="B237" s="73" t="s">
        <v>265</v>
      </c>
      <c r="C237" s="74">
        <v>45523</v>
      </c>
      <c r="D237" s="75">
        <v>45888</v>
      </c>
      <c r="E237" s="48">
        <v>454901</v>
      </c>
      <c r="F237" s="76">
        <v>0.2</v>
      </c>
      <c r="G237" s="83">
        <v>0.09</v>
      </c>
      <c r="H237" s="78">
        <v>0.29000000000000004</v>
      </c>
      <c r="I237" s="83">
        <v>0.09</v>
      </c>
      <c r="J237" s="78">
        <v>0.29000000000000004</v>
      </c>
      <c r="K237" s="83">
        <v>0.19</v>
      </c>
      <c r="L237" s="78">
        <v>0.39</v>
      </c>
      <c r="M237" s="83">
        <v>0.19</v>
      </c>
      <c r="N237" s="79">
        <v>0.39</v>
      </c>
      <c r="O237" s="53" t="str">
        <f>IF(OR(INDEX([1]Relação_Calibrações_Localização!$F$8:$F$259,MATCH(B237,[1]Relação_Calibrações_Localização!$B$8:$B$259,0))="PERDIDO",INDEX([1]Relação_Calibrações_Localização!F213:F463,MATCH(B237,[1]Relação_Calibrações_Localização!$B$8:$B$259,0))="NÃO LOCALIZADO"),"PERDIDO",
IF(OR(G237="",I237="",K237="",M237=""),"INDETERMINADO",IF(MAX(H237,J237,L237,N237)&lt;=0.5,"APROVADO","REPROVADO")))</f>
        <v>APROVADO</v>
      </c>
      <c r="P237" s="80">
        <v>0.4</v>
      </c>
      <c r="Q237" s="83">
        <v>3.2</v>
      </c>
      <c r="R237" s="79">
        <v>3.6</v>
      </c>
      <c r="S237" s="81">
        <v>1</v>
      </c>
      <c r="T237" s="83">
        <v>0.8</v>
      </c>
      <c r="U237" s="79">
        <v>1.8</v>
      </c>
      <c r="V237" s="80">
        <v>1.5</v>
      </c>
      <c r="W237" s="83">
        <v>-3.3</v>
      </c>
      <c r="X237" s="79">
        <v>4.8</v>
      </c>
      <c r="Y237" s="82" t="str">
        <f>IF(OR(INDEX([1]Relação_Calibrações_Localização!$F$8:$F$259,MATCH(B237,[1]Relação_Calibrações_Localização!$B$8:$B$259,0))="PERDIDO",INDEX([1]Relação_Calibrações_Localização!F213:F463,MATCH(B237,[1]Relação_Calibrações_Localização!$B$8:$B$259,0))="NÃO LOCALIZADO"),"PERDIDO",
IF(OR(Q237="",T237="",W237=""),"INDETERMINADO",IF(MAX(R237,U237,X237)&lt;=5,"APROVADO","REPROVADO")))</f>
        <v>APROVADO</v>
      </c>
    </row>
    <row r="238" spans="1:25" x14ac:dyDescent="0.25">
      <c r="A238" s="72">
        <v>37341813</v>
      </c>
      <c r="B238" s="73" t="s">
        <v>266</v>
      </c>
      <c r="C238" s="74">
        <v>44252</v>
      </c>
      <c r="D238" s="75">
        <f>EDATE(C238,12)</f>
        <v>44617</v>
      </c>
      <c r="E238" s="48">
        <v>282272</v>
      </c>
      <c r="F238" s="76">
        <v>0.15</v>
      </c>
      <c r="G238" s="83"/>
      <c r="H238" s="78">
        <f>ABS(G238)+F238</f>
        <v>0.15</v>
      </c>
      <c r="I238" s="83"/>
      <c r="J238" s="78">
        <f>ABS(I238)+F238</f>
        <v>0.15</v>
      </c>
      <c r="K238" s="83"/>
      <c r="L238" s="78">
        <f>ABS(K238)+F238</f>
        <v>0.15</v>
      </c>
      <c r="M238" s="83"/>
      <c r="N238" s="79">
        <f>ABS(M238)+F238</f>
        <v>0.15</v>
      </c>
      <c r="O238" s="53" t="str">
        <f>IF(OR(INDEX([1]Relação_Calibrações_Localização!$F$8:$F$259,MATCH(B238,[1]Relação_Calibrações_Localização!$B$8:$B$259,0))="PERDIDO",INDEX([1]Relação_Calibrações_Localização!F217:F467,MATCH(B238,[1]Relação_Calibrações_Localização!$B$8:$B$259,0))="NÃO LOCALIZADO"),"PERDIDO",
IF(OR(G238="",I238="",K238="",M238=""),"INDETERMINADO",IF(MAX(H238,J238,L238,N238)&lt;=0.5,"APROVADO","REPROVADO")))</f>
        <v>INDETERMINADO</v>
      </c>
      <c r="P238" s="80">
        <v>0.4</v>
      </c>
      <c r="Q238" s="83"/>
      <c r="R238" s="79">
        <f>ABS(Q238)+P238</f>
        <v>0.4</v>
      </c>
      <c r="S238" s="81">
        <v>1</v>
      </c>
      <c r="T238" s="83"/>
      <c r="U238" s="79">
        <f>ABS(T238)+S238</f>
        <v>1</v>
      </c>
      <c r="V238" s="80">
        <v>1.5</v>
      </c>
      <c r="W238" s="83"/>
      <c r="X238" s="79">
        <f>ABS(W238)+V238</f>
        <v>1.5</v>
      </c>
      <c r="Y238" s="82" t="str">
        <f>IF(OR(INDEX([1]Relação_Calibrações_Localização!$F$8:$F$259,MATCH(B238,[1]Relação_Calibrações_Localização!$B$8:$B$259,0))="PERDIDO",INDEX([1]Relação_Calibrações_Localização!F217:F467,MATCH(B238,[1]Relação_Calibrações_Localização!$B$8:$B$259,0))="NÃO LOCALIZADO"),"PERDIDO",
IF(OR(Q238="",T238="",W238=""),"INDETERMINADO",IF(MAX(R238,U238,X238)&lt;=5,"APROVADO","REPROVADO")))</f>
        <v>INDETERMINADO</v>
      </c>
    </row>
    <row r="239" spans="1:25" x14ac:dyDescent="0.25">
      <c r="A239" s="72">
        <v>37341814</v>
      </c>
      <c r="B239" s="73" t="s">
        <v>267</v>
      </c>
      <c r="C239" s="74">
        <v>45523</v>
      </c>
      <c r="D239" s="75">
        <v>45888</v>
      </c>
      <c r="E239" s="48">
        <v>454935</v>
      </c>
      <c r="F239" s="76">
        <v>0.2</v>
      </c>
      <c r="G239" s="83">
        <v>-0.01</v>
      </c>
      <c r="H239" s="78">
        <v>0.21000000000000002</v>
      </c>
      <c r="I239" s="83">
        <v>0.09</v>
      </c>
      <c r="J239" s="78">
        <v>0.29000000000000004</v>
      </c>
      <c r="K239" s="83">
        <v>0.09</v>
      </c>
      <c r="L239" s="78">
        <v>0.29000000000000004</v>
      </c>
      <c r="M239" s="83">
        <v>0.09</v>
      </c>
      <c r="N239" s="79">
        <v>0.29000000000000004</v>
      </c>
      <c r="O239" s="53" t="str">
        <f>IF(OR(INDEX([1]Relação_Calibrações_Localização!$F$8:$F$259,MATCH(B239,[1]Relação_Calibrações_Localização!$B$8:$B$259,0))="PERDIDO",INDEX([1]Relação_Calibrações_Localização!F218:F468,MATCH(B239,[1]Relação_Calibrações_Localização!$B$8:$B$259,0))="NÃO LOCALIZADO"),"PERDIDO",
IF(OR(G239="",I239="",K239="",M239=""),"INDETERMINADO",IF(MAX(H239,J239,L239,N239)&lt;=0.5,"APROVADO","REPROVADO")))</f>
        <v>APROVADO</v>
      </c>
      <c r="P239" s="80">
        <v>0.4</v>
      </c>
      <c r="Q239" s="83">
        <v>3.5</v>
      </c>
      <c r="R239" s="79">
        <v>3.9</v>
      </c>
      <c r="S239" s="81">
        <v>1</v>
      </c>
      <c r="T239" s="83">
        <v>1.2</v>
      </c>
      <c r="U239" s="79">
        <v>2.2000000000000002</v>
      </c>
      <c r="V239" s="80">
        <v>1.5</v>
      </c>
      <c r="W239" s="83">
        <v>-3.5</v>
      </c>
      <c r="X239" s="79">
        <v>5</v>
      </c>
      <c r="Y239" s="82" t="str">
        <f>IF(OR(INDEX([1]Relação_Calibrações_Localização!$F$8:$F$259,MATCH(B239,[1]Relação_Calibrações_Localização!$B$8:$B$259,0))="PERDIDO",INDEX([1]Relação_Calibrações_Localização!F218:F468,MATCH(B239,[1]Relação_Calibrações_Localização!$B$8:$B$259,0))="NÃO LOCALIZADO"),"PERDIDO",
IF(OR(Q239="",T239="",W239=""),"INDETERMINADO",IF(MAX(R239,U239,X239)&lt;=5,"APROVADO","REPROVADO")))</f>
        <v>APROVADO</v>
      </c>
    </row>
    <row r="240" spans="1:25" x14ac:dyDescent="0.25">
      <c r="A240" s="72">
        <v>37341818</v>
      </c>
      <c r="B240" s="73" t="s">
        <v>268</v>
      </c>
      <c r="C240" s="74">
        <v>45523</v>
      </c>
      <c r="D240" s="75">
        <v>45888</v>
      </c>
      <c r="E240" s="48">
        <v>454973</v>
      </c>
      <c r="F240" s="76">
        <v>0.2</v>
      </c>
      <c r="G240" s="83">
        <v>-0.11</v>
      </c>
      <c r="H240" s="78">
        <v>0.31</v>
      </c>
      <c r="I240" s="83">
        <v>-0.01</v>
      </c>
      <c r="J240" s="78">
        <v>0.21000000000000002</v>
      </c>
      <c r="K240" s="83">
        <v>-0.01</v>
      </c>
      <c r="L240" s="78">
        <v>0.21000000000000002</v>
      </c>
      <c r="M240" s="83">
        <v>-0.01</v>
      </c>
      <c r="N240" s="79">
        <v>0.21000000000000002</v>
      </c>
      <c r="O240" s="53" t="str">
        <f>IF(OR(INDEX([1]Relação_Calibrações_Localização!$F$8:$F$259,MATCH(B240,[1]Relação_Calibrações_Localização!$B$8:$B$259,0))="PERDIDO",INDEX([1]Relação_Calibrações_Localização!F220:F470,MATCH(B240,[1]Relação_Calibrações_Localização!$B$8:$B$259,0))="NÃO LOCALIZADO"),"PERDIDO",
IF(OR(G240="",I240="",K240="",M240=""),"INDETERMINADO",IF(MAX(H240,J240,L240,N240)&lt;=0.5,"APROVADO","REPROVADO")))</f>
        <v>APROVADO</v>
      </c>
      <c r="P240" s="80">
        <v>0.4</v>
      </c>
      <c r="Q240" s="83">
        <v>3.5</v>
      </c>
      <c r="R240" s="79">
        <v>3.9</v>
      </c>
      <c r="S240" s="81">
        <v>1</v>
      </c>
      <c r="T240" s="83">
        <v>1.3</v>
      </c>
      <c r="U240" s="79">
        <v>2.2999999999999998</v>
      </c>
      <c r="V240" s="80">
        <v>1.5</v>
      </c>
      <c r="W240" s="83">
        <v>-3</v>
      </c>
      <c r="X240" s="79">
        <v>4.5</v>
      </c>
      <c r="Y240" s="82" t="str">
        <f>IF(OR(INDEX([1]Relação_Calibrações_Localização!$F$8:$F$259,MATCH(B240,[1]Relação_Calibrações_Localização!$B$8:$B$259,0))="PERDIDO",INDEX([1]Relação_Calibrações_Localização!F220:F470,MATCH(B240,[1]Relação_Calibrações_Localização!$B$8:$B$259,0))="NÃO LOCALIZADO"),"PERDIDO",
IF(OR(Q240="",T240="",W240=""),"INDETERMINADO",IF(MAX(R240,U240,X240)&lt;=5,"APROVADO","REPROVADO")))</f>
        <v>APROVADO</v>
      </c>
    </row>
    <row r="241" spans="1:25" x14ac:dyDescent="0.25">
      <c r="A241" s="72">
        <v>37341855</v>
      </c>
      <c r="B241" s="73" t="s">
        <v>269</v>
      </c>
      <c r="C241" s="74">
        <v>45523</v>
      </c>
      <c r="D241" s="75">
        <v>45888</v>
      </c>
      <c r="E241" s="48">
        <v>454974</v>
      </c>
      <c r="F241" s="76">
        <v>0.2</v>
      </c>
      <c r="G241" s="83">
        <v>-0.11</v>
      </c>
      <c r="H241" s="78">
        <v>0.31</v>
      </c>
      <c r="I241" s="83">
        <v>-0.01</v>
      </c>
      <c r="J241" s="78">
        <v>0.21000000000000002</v>
      </c>
      <c r="K241" s="83">
        <v>-0.01</v>
      </c>
      <c r="L241" s="78">
        <v>0.21000000000000002</v>
      </c>
      <c r="M241" s="83">
        <v>-0.01</v>
      </c>
      <c r="N241" s="79">
        <v>0.21000000000000002</v>
      </c>
      <c r="O241" s="53" t="str">
        <f>IF(OR(INDEX([1]Relação_Calibrações_Localização!$F$8:$F$259,MATCH(B241,[1]Relação_Calibrações_Localização!$B$8:$B$259,0))="PERDIDO",INDEX([1]Relação_Calibrações_Localização!F223:F473,MATCH(B241,[1]Relação_Calibrações_Localização!$B$8:$B$259,0))="NÃO LOCALIZADO"),"PERDIDO",
IF(OR(G241="",I241="",K241="",M241=""),"INDETERMINADO",IF(MAX(H241,J241,L241,N241)&lt;=0.5,"APROVADO","REPROVADO")))</f>
        <v>APROVADO</v>
      </c>
      <c r="P241" s="80">
        <v>0.4</v>
      </c>
      <c r="Q241" s="83">
        <v>3.5</v>
      </c>
      <c r="R241" s="79">
        <v>3.9</v>
      </c>
      <c r="S241" s="81">
        <v>1</v>
      </c>
      <c r="T241" s="83">
        <v>1.8</v>
      </c>
      <c r="U241" s="79">
        <v>2.8</v>
      </c>
      <c r="V241" s="80">
        <v>1.5</v>
      </c>
      <c r="W241" s="83">
        <v>-2.9</v>
      </c>
      <c r="X241" s="79">
        <v>4.4000000000000004</v>
      </c>
      <c r="Y241" s="82" t="str">
        <f>IF(OR(INDEX([1]Relação_Calibrações_Localização!$F$8:$F$259,MATCH(B241,[1]Relação_Calibrações_Localização!$B$8:$B$259,0))="PERDIDO",INDEX([1]Relação_Calibrações_Localização!F223:F473,MATCH(B241,[1]Relação_Calibrações_Localização!$B$8:$B$259,0))="NÃO LOCALIZADO"),"PERDIDO",
IF(OR(Q241="",T241="",W241=""),"INDETERMINADO",IF(MAX(R241,U241,X241)&lt;=5,"APROVADO","REPROVADO")))</f>
        <v>APROVADO</v>
      </c>
    </row>
    <row r="242" spans="1:25" x14ac:dyDescent="0.25">
      <c r="A242" s="72">
        <v>37341857</v>
      </c>
      <c r="B242" s="73" t="s">
        <v>270</v>
      </c>
      <c r="C242" s="74">
        <v>44652</v>
      </c>
      <c r="D242" s="75">
        <f>EDATE(C242,12)</f>
        <v>45017</v>
      </c>
      <c r="E242" s="48">
        <v>328790</v>
      </c>
      <c r="F242" s="76">
        <v>0.15</v>
      </c>
      <c r="G242" s="83">
        <v>0.1</v>
      </c>
      <c r="H242" s="78">
        <f>ABS(G242)+F242</f>
        <v>0.25</v>
      </c>
      <c r="I242" s="83">
        <v>0</v>
      </c>
      <c r="J242" s="78">
        <f>ABS(I242)+F242</f>
        <v>0.15</v>
      </c>
      <c r="K242" s="83">
        <v>0</v>
      </c>
      <c r="L242" s="78">
        <f>ABS(K242)+F242</f>
        <v>0.15</v>
      </c>
      <c r="M242" s="83">
        <v>0</v>
      </c>
      <c r="N242" s="79">
        <f>ABS(M242)+F242</f>
        <v>0.15</v>
      </c>
      <c r="O242" s="53" t="str">
        <f>IF(OR(INDEX([1]Relação_Calibrações_Localização!$F$8:$F$259,MATCH(B242,[1]Relação_Calibrações_Localização!$B$8:$B$259,0))="PERDIDO",INDEX([1]Relação_Calibrações_Localização!F224:F474,MATCH(B242,[1]Relação_Calibrações_Localização!$B$8:$B$259,0))="NÃO LOCALIZADO"),"PERDIDO",
IF(OR(G242="",I242="",K242="",M242=""),"INDETERMINADO",IF(MAX(H242,J242,L242,N242)&lt;=0.5,"APROVADO","REPROVADO")))</f>
        <v>APROVADO</v>
      </c>
      <c r="P242" s="80">
        <v>0.4</v>
      </c>
      <c r="Q242" s="83">
        <v>0.4</v>
      </c>
      <c r="R242" s="79">
        <f>ABS(Q242)+P242</f>
        <v>0.8</v>
      </c>
      <c r="S242" s="81">
        <v>1</v>
      </c>
      <c r="T242" s="83">
        <v>-0.1</v>
      </c>
      <c r="U242" s="79">
        <f>ABS(T242)+S242</f>
        <v>1.1000000000000001</v>
      </c>
      <c r="V242" s="80">
        <v>1.5</v>
      </c>
      <c r="W242" s="83">
        <v>0.6</v>
      </c>
      <c r="X242" s="79">
        <f>ABS(W242)+V242</f>
        <v>2.1</v>
      </c>
      <c r="Y242" s="82" t="str">
        <f>IF(OR(INDEX([1]Relação_Calibrações_Localização!$F$8:$F$259,MATCH(B242,[1]Relação_Calibrações_Localização!$B$8:$B$259,0))="PERDIDO",INDEX([1]Relação_Calibrações_Localização!F224:F474,MATCH(B242,[1]Relação_Calibrações_Localização!$B$8:$B$259,0))="NÃO LOCALIZADO"),"PERDIDO",
IF(OR(Q242="",T242="",W242=""),"INDETERMINADO",IF(MAX(R242,U242,X242)&lt;=5,"APROVADO","REPROVADO")))</f>
        <v>APROVADO</v>
      </c>
    </row>
    <row r="243" spans="1:25" x14ac:dyDescent="0.25">
      <c r="A243" s="72">
        <v>37341936</v>
      </c>
      <c r="B243" s="73" t="s">
        <v>271</v>
      </c>
      <c r="C243" s="74">
        <v>45523</v>
      </c>
      <c r="D243" s="75">
        <v>45888</v>
      </c>
      <c r="E243" s="48">
        <v>454936</v>
      </c>
      <c r="F243" s="76">
        <v>0.2</v>
      </c>
      <c r="G243" s="83">
        <v>-0.01</v>
      </c>
      <c r="H243" s="78">
        <v>0.21000000000000002</v>
      </c>
      <c r="I243" s="83">
        <v>0.09</v>
      </c>
      <c r="J243" s="78">
        <v>0.29000000000000004</v>
      </c>
      <c r="K243" s="83">
        <v>0.09</v>
      </c>
      <c r="L243" s="78">
        <v>0.29000000000000004</v>
      </c>
      <c r="M243" s="83">
        <v>0.09</v>
      </c>
      <c r="N243" s="79">
        <v>0.29000000000000004</v>
      </c>
      <c r="O243" s="53" t="str">
        <f>IF(OR(INDEX([1]Relação_Calibrações_Localização!$F$8:$F$259,MATCH(B243,[1]Relação_Calibrações_Localização!$B$8:$B$259,0))="PERDIDO",INDEX([1]Relação_Calibrações_Localização!F225:F475,MATCH(B243,[1]Relação_Calibrações_Localização!$B$8:$B$259,0))="NÃO LOCALIZADO"),"PERDIDO",
IF(OR(G243="",I243="",K243="",M243=""),"INDETERMINADO",IF(MAX(H243,J243,L243,N243)&lt;=0.5,"APROVADO","REPROVADO")))</f>
        <v>APROVADO</v>
      </c>
      <c r="P243" s="80">
        <v>0.4</v>
      </c>
      <c r="Q243" s="83">
        <v>3.5</v>
      </c>
      <c r="R243" s="79">
        <v>3.9</v>
      </c>
      <c r="S243" s="81">
        <v>1</v>
      </c>
      <c r="T243" s="83">
        <v>1.5</v>
      </c>
      <c r="U243" s="79">
        <v>2.5</v>
      </c>
      <c r="V243" s="80">
        <v>1.5</v>
      </c>
      <c r="W243" s="83">
        <v>-3.5</v>
      </c>
      <c r="X243" s="79">
        <v>5</v>
      </c>
      <c r="Y243" s="82" t="str">
        <f>IF(OR(INDEX([1]Relação_Calibrações_Localização!$F$8:$F$259,MATCH(B243,[1]Relação_Calibrações_Localização!$B$8:$B$259,0))="PERDIDO",INDEX([1]Relação_Calibrações_Localização!F225:F475,MATCH(B243,[1]Relação_Calibrações_Localização!$B$8:$B$259,0))="NÃO LOCALIZADO"),"PERDIDO",
IF(OR(Q243="",T243="",W243=""),"INDETERMINADO",IF(MAX(R243,U243,X243)&lt;=5,"APROVADO","REPROVADO")))</f>
        <v>APROVADO</v>
      </c>
    </row>
    <row r="244" spans="1:25" x14ac:dyDescent="0.25">
      <c r="A244" s="72">
        <v>37341945</v>
      </c>
      <c r="B244" s="73" t="s">
        <v>272</v>
      </c>
      <c r="C244" s="74">
        <v>45523</v>
      </c>
      <c r="D244" s="75">
        <v>45888</v>
      </c>
      <c r="E244" s="48">
        <v>454975</v>
      </c>
      <c r="F244" s="76">
        <v>0.2</v>
      </c>
      <c r="G244" s="83">
        <v>-0.01</v>
      </c>
      <c r="H244" s="78">
        <v>0.21000000000000002</v>
      </c>
      <c r="I244" s="83">
        <v>-0.01</v>
      </c>
      <c r="J244" s="78">
        <v>0.21000000000000002</v>
      </c>
      <c r="K244" s="83">
        <v>-0.01</v>
      </c>
      <c r="L244" s="78">
        <v>0.21000000000000002</v>
      </c>
      <c r="M244" s="83">
        <v>-0.01</v>
      </c>
      <c r="N244" s="79">
        <v>0.21000000000000002</v>
      </c>
      <c r="O244" s="53" t="str">
        <f>IF(OR(INDEX([1]Relação_Calibrações_Localização!$F$8:$F$259,MATCH(B244,[1]Relação_Calibrações_Localização!$B$8:$B$259,0))="PERDIDO",INDEX([1]Relação_Calibrações_Localização!F227:F477,MATCH(B244,[1]Relação_Calibrações_Localização!$B$8:$B$259,0))="NÃO LOCALIZADO"),"PERDIDO",
IF(OR(G244="",I244="",K244="",M244=""),"INDETERMINADO",IF(MAX(H244,J244,L244,N244)&lt;=0.5,"APROVADO","REPROVADO")))</f>
        <v>APROVADO</v>
      </c>
      <c r="P244" s="80">
        <v>0.4</v>
      </c>
      <c r="Q244" s="83">
        <v>3.5</v>
      </c>
      <c r="R244" s="79">
        <v>3.9</v>
      </c>
      <c r="S244" s="81">
        <v>1</v>
      </c>
      <c r="T244" s="83">
        <v>1.4</v>
      </c>
      <c r="U244" s="79">
        <v>2.4</v>
      </c>
      <c r="V244" s="80">
        <v>1.5</v>
      </c>
      <c r="W244" s="83">
        <v>-3.5</v>
      </c>
      <c r="X244" s="79">
        <v>5</v>
      </c>
      <c r="Y244" s="82" t="str">
        <f>IF(OR(INDEX([1]Relação_Calibrações_Localização!$F$8:$F$259,MATCH(B244,[1]Relação_Calibrações_Localização!$B$8:$B$259,0))="PERDIDO",INDEX([1]Relação_Calibrações_Localização!F227:F477,MATCH(B244,[1]Relação_Calibrações_Localização!$B$8:$B$259,0))="NÃO LOCALIZADO"),"PERDIDO",
IF(OR(Q244="",T244="",W244=""),"INDETERMINADO",IF(MAX(R244,U244,X244)&lt;=5,"APROVADO","REPROVADO")))</f>
        <v>APROVADO</v>
      </c>
    </row>
    <row r="245" spans="1:25" x14ac:dyDescent="0.25">
      <c r="A245" s="72">
        <v>37341955</v>
      </c>
      <c r="B245" s="73" t="s">
        <v>273</v>
      </c>
      <c r="C245" s="74">
        <v>45523</v>
      </c>
      <c r="D245" s="75">
        <v>45888</v>
      </c>
      <c r="E245" s="48">
        <v>454976</v>
      </c>
      <c r="F245" s="76">
        <v>0.2</v>
      </c>
      <c r="G245" s="83">
        <v>-0.01</v>
      </c>
      <c r="H245" s="78">
        <v>0.21000000000000002</v>
      </c>
      <c r="I245" s="83">
        <v>-0.01</v>
      </c>
      <c r="J245" s="78">
        <v>0.21000000000000002</v>
      </c>
      <c r="K245" s="83">
        <v>-0.01</v>
      </c>
      <c r="L245" s="78">
        <v>0.21000000000000002</v>
      </c>
      <c r="M245" s="83">
        <v>-0.01</v>
      </c>
      <c r="N245" s="79">
        <v>0.21000000000000002</v>
      </c>
      <c r="O245" s="53" t="str">
        <f>IF(OR(INDEX([1]Relação_Calibrações_Localização!$F$8:$F$259,MATCH(B245,[1]Relação_Calibrações_Localização!$B$8:$B$259,0))="PERDIDO",INDEX([1]Relação_Calibrações_Localização!F228:F478,MATCH(B245,[1]Relação_Calibrações_Localização!$B$8:$B$259,0))="NÃO LOCALIZADO"),"PERDIDO",
IF(OR(G245="",I245="",K245="",M245=""),"INDETERMINADO",IF(MAX(H245,J245,L245,N245)&lt;=0.5,"APROVADO","REPROVADO")))</f>
        <v>APROVADO</v>
      </c>
      <c r="P245" s="80">
        <v>0.4</v>
      </c>
      <c r="Q245" s="83">
        <v>3.5</v>
      </c>
      <c r="R245" s="79">
        <v>3.9</v>
      </c>
      <c r="S245" s="81">
        <v>1</v>
      </c>
      <c r="T245" s="83">
        <v>1.1000000000000001</v>
      </c>
      <c r="U245" s="79">
        <v>2.1</v>
      </c>
      <c r="V245" s="80">
        <v>1.5</v>
      </c>
      <c r="W245" s="83">
        <v>-3.5</v>
      </c>
      <c r="X245" s="79">
        <v>5</v>
      </c>
      <c r="Y245" s="82" t="str">
        <f>IF(OR(INDEX([1]Relação_Calibrações_Localização!$F$8:$F$259,MATCH(B245,[1]Relação_Calibrações_Localização!$B$8:$B$259,0))="PERDIDO",INDEX([1]Relação_Calibrações_Localização!F228:F478,MATCH(B245,[1]Relação_Calibrações_Localização!$B$8:$B$259,0))="NÃO LOCALIZADO"),"PERDIDO",
IF(OR(Q245="",T245="",W245=""),"INDETERMINADO",IF(MAX(R245,U245,X245)&lt;=5,"APROVADO","REPROVADO")))</f>
        <v>APROVADO</v>
      </c>
    </row>
    <row r="246" spans="1:25" x14ac:dyDescent="0.25">
      <c r="A246" s="72">
        <v>37342162</v>
      </c>
      <c r="B246" s="73" t="s">
        <v>274</v>
      </c>
      <c r="C246" s="74">
        <v>45523</v>
      </c>
      <c r="D246" s="75">
        <v>45888</v>
      </c>
      <c r="E246" s="48">
        <v>454922</v>
      </c>
      <c r="F246" s="76">
        <v>0.2</v>
      </c>
      <c r="G246" s="83">
        <v>-0.01</v>
      </c>
      <c r="H246" s="78">
        <v>0.21000000000000002</v>
      </c>
      <c r="I246" s="83">
        <v>-0.01</v>
      </c>
      <c r="J246" s="78">
        <v>0.21000000000000002</v>
      </c>
      <c r="K246" s="83">
        <v>0.09</v>
      </c>
      <c r="L246" s="78">
        <v>0.29000000000000004</v>
      </c>
      <c r="M246" s="83">
        <v>0.09</v>
      </c>
      <c r="N246" s="79">
        <v>0.29000000000000004</v>
      </c>
      <c r="O246" s="53" t="str">
        <f>IF(OR(INDEX([1]Relação_Calibrações_Localização!$F$8:$F$259,MATCH(B246,[1]Relação_Calibrações_Localização!$B$8:$B$259,0))="PERDIDO",INDEX([1]Relação_Calibrações_Localização!F229:F479,MATCH(B246,[1]Relação_Calibrações_Localização!$B$8:$B$259,0))="NÃO LOCALIZADO"),"PERDIDO",
IF(OR(G246="",I246="",K246="",M246=""),"INDETERMINADO",IF(MAX(H246,J246,L246,N246)&lt;=0.5,"APROVADO","REPROVADO")))</f>
        <v>APROVADO</v>
      </c>
      <c r="P246" s="80">
        <v>0.4</v>
      </c>
      <c r="Q246" s="83">
        <v>3.5</v>
      </c>
      <c r="R246" s="79">
        <v>3.9</v>
      </c>
      <c r="S246" s="81">
        <v>1</v>
      </c>
      <c r="T246" s="83">
        <v>1.7</v>
      </c>
      <c r="U246" s="79">
        <v>2.7</v>
      </c>
      <c r="V246" s="80">
        <v>1.5</v>
      </c>
      <c r="W246" s="83">
        <v>-3.3</v>
      </c>
      <c r="X246" s="79">
        <v>4.8</v>
      </c>
      <c r="Y246" s="82" t="str">
        <f>IF(OR(INDEX([1]Relação_Calibrações_Localização!$F$8:$F$259,MATCH(B246,[1]Relação_Calibrações_Localização!$B$8:$B$259,0))="PERDIDO",INDEX([1]Relação_Calibrações_Localização!F229:F479,MATCH(B246,[1]Relação_Calibrações_Localização!$B$8:$B$259,0))="NÃO LOCALIZADO"),"PERDIDO",
IF(OR(Q246="",T246="",W246=""),"INDETERMINADO",IF(MAX(R246,U246,X246)&lt;=5,"APROVADO","REPROVADO")))</f>
        <v>APROVADO</v>
      </c>
    </row>
    <row r="247" spans="1:25" x14ac:dyDescent="0.25">
      <c r="A247" s="72">
        <v>37342194</v>
      </c>
      <c r="B247" s="73" t="s">
        <v>275</v>
      </c>
      <c r="C247" s="74">
        <v>44806</v>
      </c>
      <c r="D247" s="75">
        <f>EDATE(C247,12)</f>
        <v>45171</v>
      </c>
      <c r="E247" s="48">
        <v>349126</v>
      </c>
      <c r="F247" s="76">
        <v>0.15</v>
      </c>
      <c r="G247" s="83">
        <v>-0.1</v>
      </c>
      <c r="H247" s="78">
        <f>ABS(G247)+F247</f>
        <v>0.25</v>
      </c>
      <c r="I247" s="83">
        <v>0</v>
      </c>
      <c r="J247" s="78">
        <f>ABS(I247)+F247</f>
        <v>0.15</v>
      </c>
      <c r="K247" s="83">
        <v>0</v>
      </c>
      <c r="L247" s="78">
        <f>ABS(K247)+F247</f>
        <v>0.15</v>
      </c>
      <c r="M247" s="83">
        <v>0</v>
      </c>
      <c r="N247" s="79">
        <f>ABS(M247)+F247</f>
        <v>0.15</v>
      </c>
      <c r="O247" s="53" t="str">
        <f>IF(OR(INDEX([1]Relação_Calibrações_Localização!$F$8:$F$259,MATCH(B247,[1]Relação_Calibrações_Localização!$B$8:$B$259,0))="PERDIDO",INDEX([1]Relação_Calibrações_Localização!F233:F483,MATCH(B247,[1]Relação_Calibrações_Localização!$B$8:$B$259,0))="NÃO LOCALIZADO"),"PERDIDO",
IF(OR(G247="",I247="",K247="",M247=""),"INDETERMINADO",IF(MAX(H247,J247,L247,N247)&lt;=0.5,"APROVADO","REPROVADO")))</f>
        <v>APROVADO</v>
      </c>
      <c r="P247" s="80">
        <v>0.4</v>
      </c>
      <c r="Q247" s="83">
        <v>2.5</v>
      </c>
      <c r="R247" s="79">
        <f>ABS(Q247)+P247</f>
        <v>2.9</v>
      </c>
      <c r="S247" s="81">
        <v>1</v>
      </c>
      <c r="T247" s="83">
        <v>0.9</v>
      </c>
      <c r="U247" s="79">
        <f>ABS(T247)+S247</f>
        <v>1.9</v>
      </c>
      <c r="V247" s="80">
        <v>1.5</v>
      </c>
      <c r="W247" s="83">
        <v>-3.6</v>
      </c>
      <c r="X247" s="79">
        <f>ABS(W247)+V247</f>
        <v>5.0999999999999996</v>
      </c>
      <c r="Y247" s="82" t="str">
        <f>IF(OR(INDEX([1]Relação_Calibrações_Localização!$F$8:$F$259,MATCH(B247,[1]Relação_Calibrações_Localização!$B$8:$B$259,0))="PERDIDO",INDEX([1]Relação_Calibrações_Localização!F233:F483,MATCH(B247,[1]Relação_Calibrações_Localização!$B$8:$B$259,0))="NÃO LOCALIZADO"),"PERDIDO",
IF(OR(Q247="",T247="",W247=""),"INDETERMINADO",IF(MAX(R247,U247,X247)&lt;=5,"APROVADO","REPROVADO")))</f>
        <v>REPROVADO</v>
      </c>
    </row>
    <row r="248" spans="1:25" x14ac:dyDescent="0.25">
      <c r="A248" s="72">
        <v>37342201</v>
      </c>
      <c r="B248" s="73" t="s">
        <v>276</v>
      </c>
      <c r="C248" s="74">
        <v>45523</v>
      </c>
      <c r="D248" s="75">
        <v>45888</v>
      </c>
      <c r="E248" s="48">
        <v>454907</v>
      </c>
      <c r="F248" s="76">
        <v>0.2</v>
      </c>
      <c r="G248" s="83">
        <v>0.09</v>
      </c>
      <c r="H248" s="78">
        <v>0.29000000000000004</v>
      </c>
      <c r="I248" s="83">
        <v>0.09</v>
      </c>
      <c r="J248" s="78">
        <v>0.29000000000000004</v>
      </c>
      <c r="K248" s="83">
        <v>0.09</v>
      </c>
      <c r="L248" s="78">
        <v>0.29000000000000004</v>
      </c>
      <c r="M248" s="83">
        <v>-0.01</v>
      </c>
      <c r="N248" s="79">
        <v>0.21000000000000002</v>
      </c>
      <c r="O248" s="53" t="str">
        <f>IF(OR(INDEX([1]Relação_Calibrações_Localização!$F$8:$F$259,MATCH(B248,[1]Relação_Calibrações_Localização!$B$8:$B$259,0))="PERDIDO",INDEX([1]Relação_Calibrações_Localização!F234:F484,MATCH(B248,[1]Relação_Calibrações_Localização!$B$8:$B$259,0))="NÃO LOCALIZADO"),"PERDIDO",
IF(OR(G248="",I248="",K248="",M248=""),"INDETERMINADO",IF(MAX(H248,J248,L248,N248)&lt;=0.5,"APROVADO","REPROVADO")))</f>
        <v>APROVADO</v>
      </c>
      <c r="P248" s="80">
        <v>0.4</v>
      </c>
      <c r="Q248" s="83">
        <v>3.3</v>
      </c>
      <c r="R248" s="79">
        <v>3.6999999999999997</v>
      </c>
      <c r="S248" s="81">
        <v>1</v>
      </c>
      <c r="T248" s="83">
        <v>0.9</v>
      </c>
      <c r="U248" s="79">
        <v>1.9</v>
      </c>
      <c r="V248" s="80">
        <v>1.5</v>
      </c>
      <c r="W248" s="83">
        <v>-3.4</v>
      </c>
      <c r="X248" s="79">
        <v>4.9000000000000004</v>
      </c>
      <c r="Y248" s="82" t="str">
        <f>IF(OR(INDEX([1]Relação_Calibrações_Localização!$F$8:$F$259,MATCH(B248,[1]Relação_Calibrações_Localização!$B$8:$B$259,0))="PERDIDO",INDEX([1]Relação_Calibrações_Localização!F234:F484,MATCH(B248,[1]Relação_Calibrações_Localização!$B$8:$B$259,0))="NÃO LOCALIZADO"),"PERDIDO",
IF(OR(Q248="",T248="",W248=""),"INDETERMINADO",IF(MAX(R248,U248,X248)&lt;=5,"APROVADO","REPROVADO")))</f>
        <v>APROVADO</v>
      </c>
    </row>
    <row r="249" spans="1:25" x14ac:dyDescent="0.25">
      <c r="A249" s="72">
        <v>37342232</v>
      </c>
      <c r="B249" s="73" t="s">
        <v>277</v>
      </c>
      <c r="C249" s="74">
        <v>45523</v>
      </c>
      <c r="D249" s="75">
        <v>45888</v>
      </c>
      <c r="E249" s="48">
        <v>454977</v>
      </c>
      <c r="F249" s="76">
        <v>0.2</v>
      </c>
      <c r="G249" s="83">
        <v>-0.01</v>
      </c>
      <c r="H249" s="78">
        <v>0.21000000000000002</v>
      </c>
      <c r="I249" s="83">
        <v>-0.01</v>
      </c>
      <c r="J249" s="78">
        <v>0.21000000000000002</v>
      </c>
      <c r="K249" s="83">
        <v>-0.01</v>
      </c>
      <c r="L249" s="78">
        <v>0.21000000000000002</v>
      </c>
      <c r="M249" s="83">
        <v>-0.01</v>
      </c>
      <c r="N249" s="79">
        <v>0.21000000000000002</v>
      </c>
      <c r="O249" s="53" t="str">
        <f>IF(OR(INDEX([1]Relação_Calibrações_Localização!$F$8:$F$259,MATCH(B249,[1]Relação_Calibrações_Localização!$B$8:$B$259,0))="PERDIDO",INDEX([1]Relação_Calibrações_Localização!F235:F485,MATCH(B249,[1]Relação_Calibrações_Localização!$B$8:$B$259,0))="NÃO LOCALIZADO"),"PERDIDO",
IF(OR(G249="",I249="",K249="",M249=""),"INDETERMINADO",IF(MAX(H249,J249,L249,N249)&lt;=0.5,"APROVADO","REPROVADO")))</f>
        <v>APROVADO</v>
      </c>
      <c r="P249" s="80">
        <v>0.4</v>
      </c>
      <c r="Q249" s="83">
        <v>3.5</v>
      </c>
      <c r="R249" s="79">
        <v>3.9</v>
      </c>
      <c r="S249" s="81">
        <v>1</v>
      </c>
      <c r="T249" s="83">
        <v>1</v>
      </c>
      <c r="U249" s="79">
        <v>2</v>
      </c>
      <c r="V249" s="80">
        <v>1.5</v>
      </c>
      <c r="W249" s="83">
        <v>-3.5</v>
      </c>
      <c r="X249" s="79">
        <v>5</v>
      </c>
      <c r="Y249" s="82" t="str">
        <f>IF(OR(INDEX([1]Relação_Calibrações_Localização!$F$8:$F$259,MATCH(B249,[1]Relação_Calibrações_Localização!$B$8:$B$259,0))="PERDIDO",INDEX([1]Relação_Calibrações_Localização!F235:F485,MATCH(B249,[1]Relação_Calibrações_Localização!$B$8:$B$259,0))="NÃO LOCALIZADO"),"PERDIDO",
IF(OR(Q249="",T249="",W249=""),"INDETERMINADO",IF(MAX(R249,U249,X249)&lt;=5,"APROVADO","REPROVADO")))</f>
        <v>APROVADO</v>
      </c>
    </row>
    <row r="250" spans="1:25" x14ac:dyDescent="0.25">
      <c r="A250" s="72">
        <v>37342247</v>
      </c>
      <c r="B250" s="73" t="s">
        <v>278</v>
      </c>
      <c r="C250" s="74">
        <v>45120</v>
      </c>
      <c r="D250" s="75">
        <f>EDATE(C250,12)</f>
        <v>45486</v>
      </c>
      <c r="E250" s="48">
        <v>393832</v>
      </c>
      <c r="F250" s="76">
        <v>0.2</v>
      </c>
      <c r="G250" s="83">
        <v>-0.1</v>
      </c>
      <c r="H250" s="78">
        <v>0.30000000000000004</v>
      </c>
      <c r="I250" s="83">
        <v>0</v>
      </c>
      <c r="J250" s="78">
        <v>0.2</v>
      </c>
      <c r="K250" s="83">
        <v>0.1</v>
      </c>
      <c r="L250" s="78">
        <v>0.30000000000000004</v>
      </c>
      <c r="M250" s="83">
        <v>0.1</v>
      </c>
      <c r="N250" s="79">
        <v>0.30000000000000004</v>
      </c>
      <c r="O250" s="53" t="str">
        <f>IF(OR(INDEX([1]Relação_Calibrações_Localização!$F$8:$F$259,MATCH(B250,[1]Relação_Calibrações_Localização!$B$8:$B$259,0))="PERDIDO",INDEX([1]Relação_Calibrações_Localização!F237:F487,MATCH(B250,[1]Relação_Calibrações_Localização!$B$8:$B$259,0))="NÃO LOCALIZADO"),"PERDIDO",
IF(OR(G250="",I250="",K250="",M250=""),"INDETERMINADO",IF(MAX(H250,J250,L250,N250)&lt;=0.5,"APROVADO","REPROVADO")))</f>
        <v>APROVADO</v>
      </c>
      <c r="P250" s="80">
        <v>0.4</v>
      </c>
      <c r="Q250" s="83">
        <v>1.4</v>
      </c>
      <c r="R250" s="79">
        <v>1.7999999999999998</v>
      </c>
      <c r="S250" s="81">
        <v>1</v>
      </c>
      <c r="T250" s="83">
        <v>0.9</v>
      </c>
      <c r="U250" s="79">
        <v>1.9</v>
      </c>
      <c r="V250" s="80">
        <v>1.5</v>
      </c>
      <c r="W250" s="83">
        <v>-0.9</v>
      </c>
      <c r="X250" s="79">
        <v>2.4</v>
      </c>
      <c r="Y250" s="82" t="str">
        <f>IF(OR(INDEX([1]Relação_Calibrações_Localização!$F$8:$F$259,MATCH(B250,[1]Relação_Calibrações_Localização!$B$8:$B$259,0))="PERDIDO",INDEX([1]Relação_Calibrações_Localização!F237:F487,MATCH(B250,[1]Relação_Calibrações_Localização!$B$8:$B$259,0))="NÃO LOCALIZADO"),"PERDIDO",
IF(OR(Q250="",T250="",W250=""),"INDETERMINADO",IF(MAX(R250,U250,X250)&lt;=5,"APROVADO","REPROVADO")))</f>
        <v>APROVADO</v>
      </c>
    </row>
    <row r="251" spans="1:25" x14ac:dyDescent="0.25">
      <c r="A251" s="72">
        <v>37343032</v>
      </c>
      <c r="B251" s="73" t="s">
        <v>279</v>
      </c>
      <c r="C251" s="74">
        <v>45523</v>
      </c>
      <c r="D251" s="75">
        <v>45888</v>
      </c>
      <c r="E251" s="48">
        <v>454978</v>
      </c>
      <c r="F251" s="76">
        <v>0.2</v>
      </c>
      <c r="G251" s="83">
        <v>-0.01</v>
      </c>
      <c r="H251" s="78">
        <v>0.21000000000000002</v>
      </c>
      <c r="I251" s="83">
        <v>-0.01</v>
      </c>
      <c r="J251" s="78">
        <v>0.21000000000000002</v>
      </c>
      <c r="K251" s="83">
        <v>0.09</v>
      </c>
      <c r="L251" s="78">
        <v>0.29000000000000004</v>
      </c>
      <c r="M251" s="83">
        <v>0.09</v>
      </c>
      <c r="N251" s="79">
        <v>0.29000000000000004</v>
      </c>
      <c r="O251" s="53" t="str">
        <f>IF(OR(INDEX([1]Relação_Calibrações_Localização!$F$8:$F$259,MATCH(B251,[1]Relação_Calibrações_Localização!$B$8:$B$259,0))="PERDIDO",INDEX([1]Relação_Calibrações_Localização!F239:F489,MATCH(B251,[1]Relação_Calibrações_Localização!$B$8:$B$259,0))="NÃO LOCALIZADO"),"PERDIDO",
IF(OR(G251="",I251="",K251="",M251=""),"INDETERMINADO",IF(MAX(H251,J251,L251,N251)&lt;=0.5,"APROVADO","REPROVADO")))</f>
        <v>APROVADO</v>
      </c>
      <c r="P251" s="80">
        <v>0.4</v>
      </c>
      <c r="Q251" s="83">
        <v>3.5</v>
      </c>
      <c r="R251" s="79">
        <v>3.9</v>
      </c>
      <c r="S251" s="81">
        <v>1</v>
      </c>
      <c r="T251" s="83">
        <v>1.8</v>
      </c>
      <c r="U251" s="79">
        <v>2.8</v>
      </c>
      <c r="V251" s="80">
        <v>1.5</v>
      </c>
      <c r="W251" s="83">
        <v>-3.5</v>
      </c>
      <c r="X251" s="79">
        <v>5</v>
      </c>
      <c r="Y251" s="82" t="str">
        <f>IF(OR(INDEX([1]Relação_Calibrações_Localização!$F$8:$F$259,MATCH(B251,[1]Relação_Calibrações_Localização!$B$8:$B$259,0))="PERDIDO",INDEX([1]Relação_Calibrações_Localização!F239:F489,MATCH(B251,[1]Relação_Calibrações_Localização!$B$8:$B$259,0))="NÃO LOCALIZADO"),"PERDIDO",
IF(OR(Q251="",T251="",W251=""),"INDETERMINADO",IF(MAX(R251,U251,X251)&lt;=5,"APROVADO","REPROVADO")))</f>
        <v>APROVADO</v>
      </c>
    </row>
    <row r="252" spans="1:25" x14ac:dyDescent="0.25">
      <c r="A252" s="72">
        <v>37343091</v>
      </c>
      <c r="B252" s="73" t="s">
        <v>280</v>
      </c>
      <c r="C252" s="74">
        <v>45523</v>
      </c>
      <c r="D252" s="75">
        <v>45888</v>
      </c>
      <c r="E252" s="48">
        <v>454979</v>
      </c>
      <c r="F252" s="76">
        <v>0.2</v>
      </c>
      <c r="G252" s="83">
        <v>-0.11</v>
      </c>
      <c r="H252" s="78">
        <v>0.31</v>
      </c>
      <c r="I252" s="83">
        <v>-0.01</v>
      </c>
      <c r="J252" s="78">
        <v>0.21000000000000002</v>
      </c>
      <c r="K252" s="83">
        <v>0.09</v>
      </c>
      <c r="L252" s="78">
        <v>0.29000000000000004</v>
      </c>
      <c r="M252" s="83">
        <v>0.09</v>
      </c>
      <c r="N252" s="79">
        <v>0.29000000000000004</v>
      </c>
      <c r="O252" s="53" t="str">
        <f>IF(OR(INDEX([1]Relação_Calibrações_Localização!$F$8:$F$259,MATCH(B252,[1]Relação_Calibrações_Localização!$B$8:$B$259,0))="PERDIDO",INDEX([1]Relação_Calibrações_Localização!F245:F495,MATCH(B252,[1]Relação_Calibrações_Localização!$B$8:$B$259,0))="NÃO LOCALIZADO"),"PERDIDO",
IF(OR(G252="",I252="",K252="",M252=""),"INDETERMINADO",IF(MAX(H252,J252,L252,N252)&lt;=0.5,"APROVADO","REPROVADO")))</f>
        <v>APROVADO</v>
      </c>
      <c r="P252" s="80">
        <v>0.4</v>
      </c>
      <c r="Q252" s="83">
        <v>3.5</v>
      </c>
      <c r="R252" s="79">
        <v>3.9</v>
      </c>
      <c r="S252" s="81">
        <v>1</v>
      </c>
      <c r="T252" s="83">
        <v>1.7</v>
      </c>
      <c r="U252" s="79">
        <v>2.7</v>
      </c>
      <c r="V252" s="80">
        <v>1.5</v>
      </c>
      <c r="W252" s="83">
        <v>-2</v>
      </c>
      <c r="X252" s="79">
        <v>3.5</v>
      </c>
      <c r="Y252" s="82" t="str">
        <f>IF(OR(INDEX([1]Relação_Calibrações_Localização!$F$8:$F$259,MATCH(B252,[1]Relação_Calibrações_Localização!$B$8:$B$259,0))="PERDIDO",INDEX([1]Relação_Calibrações_Localização!F245:F495,MATCH(B252,[1]Relação_Calibrações_Localização!$B$8:$B$259,0))="NÃO LOCALIZADO"),"PERDIDO",
IF(OR(Q252="",T252="",W252=""),"INDETERMINADO",IF(MAX(R252,U252,X252)&lt;=5,"APROVADO","REPROVADO")))</f>
        <v>APROVADO</v>
      </c>
    </row>
    <row r="253" spans="1:25" x14ac:dyDescent="0.25">
      <c r="A253" s="72">
        <v>37343094</v>
      </c>
      <c r="B253" s="73" t="s">
        <v>281</v>
      </c>
      <c r="C253" s="74">
        <v>44252</v>
      </c>
      <c r="D253" s="75">
        <f>EDATE(C253,12)</f>
        <v>44617</v>
      </c>
      <c r="E253" s="48">
        <v>282277</v>
      </c>
      <c r="F253" s="76">
        <v>0.15</v>
      </c>
      <c r="G253" s="83"/>
      <c r="H253" s="78">
        <f>ABS(G253)+F253</f>
        <v>0.15</v>
      </c>
      <c r="I253" s="83"/>
      <c r="J253" s="78">
        <f>ABS(I253)+F253</f>
        <v>0.15</v>
      </c>
      <c r="K253" s="83"/>
      <c r="L253" s="78">
        <f>ABS(K253)+F253</f>
        <v>0.15</v>
      </c>
      <c r="M253" s="83"/>
      <c r="N253" s="79">
        <f>ABS(M253)+F253</f>
        <v>0.15</v>
      </c>
      <c r="O253" s="53" t="str">
        <f>IF(OR(INDEX([1]Relação_Calibrações_Localização!$F$8:$F$259,MATCH(B253,[1]Relação_Calibrações_Localização!$B$8:$B$259,0))="PERDIDO",INDEX([1]Relação_Calibrações_Localização!F246:F496,MATCH(B253,[1]Relação_Calibrações_Localização!$B$8:$B$259,0))="NÃO LOCALIZADO"),"PERDIDO",
IF(OR(G253="",I253="",K253="",M253=""),"INDETERMINADO",IF(MAX(H253,J253,L253,N253)&lt;=0.5,"APROVADO","REPROVADO")))</f>
        <v>INDETERMINADO</v>
      </c>
      <c r="P253" s="80">
        <v>0.4</v>
      </c>
      <c r="Q253" s="83"/>
      <c r="R253" s="79">
        <f>ABS(Q253)+P253</f>
        <v>0.4</v>
      </c>
      <c r="S253" s="81">
        <v>1</v>
      </c>
      <c r="T253" s="83"/>
      <c r="U253" s="79">
        <f>ABS(T253)+S253</f>
        <v>1</v>
      </c>
      <c r="V253" s="80">
        <v>1.5</v>
      </c>
      <c r="W253" s="83"/>
      <c r="X253" s="79">
        <f>ABS(W253)+V253</f>
        <v>1.5</v>
      </c>
      <c r="Y253" s="82" t="str">
        <f>IF(OR(INDEX([1]Relação_Calibrações_Localização!$F$8:$F$259,MATCH(B253,[1]Relação_Calibrações_Localização!$B$8:$B$259,0))="PERDIDO",INDEX([1]Relação_Calibrações_Localização!F246:F496,MATCH(B253,[1]Relação_Calibrações_Localização!$B$8:$B$259,0))="NÃO LOCALIZADO"),"PERDIDO",
IF(OR(Q253="",T253="",W253=""),"INDETERMINADO",IF(MAX(R253,U253,X253)&lt;=5,"APROVADO","REPROVADO")))</f>
        <v>INDETERMINADO</v>
      </c>
    </row>
    <row r="254" spans="1:25" x14ac:dyDescent="0.25">
      <c r="A254" s="72">
        <v>37343099</v>
      </c>
      <c r="B254" s="73" t="s">
        <v>282</v>
      </c>
      <c r="C254" s="74">
        <v>43888</v>
      </c>
      <c r="D254" s="75">
        <f>EDATE(C254,12)</f>
        <v>44254</v>
      </c>
      <c r="E254" s="48">
        <v>255671</v>
      </c>
      <c r="F254" s="76">
        <v>0.15</v>
      </c>
      <c r="G254" s="83"/>
      <c r="H254" s="78">
        <f>ABS(G254)+F254</f>
        <v>0.15</v>
      </c>
      <c r="I254" s="83"/>
      <c r="J254" s="78">
        <f>ABS(I254)+F254</f>
        <v>0.15</v>
      </c>
      <c r="K254" s="83"/>
      <c r="L254" s="78">
        <f>ABS(K254)+F254</f>
        <v>0.15</v>
      </c>
      <c r="M254" s="83"/>
      <c r="N254" s="79">
        <f>ABS(M254)+F254</f>
        <v>0.15</v>
      </c>
      <c r="O254" s="53" t="str">
        <f>IF(OR(INDEX([1]Relação_Calibrações_Localização!$F$8:$F$259,MATCH(B254,[1]Relação_Calibrações_Localização!$B$8:$B$259,0))="PERDIDO",INDEX([1]Relação_Calibrações_Localização!F247:F497,MATCH(B254,[1]Relação_Calibrações_Localização!$B$8:$B$259,0))="NÃO LOCALIZADO"),"PERDIDO",
IF(OR(G254="",I254="",K254="",M254=""),"INDETERMINADO",IF(MAX(H254,J254,L254,N254)&lt;=0.5,"APROVADO","REPROVADO")))</f>
        <v>INDETERMINADO</v>
      </c>
      <c r="P254" s="80">
        <v>0.4</v>
      </c>
      <c r="Q254" s="83"/>
      <c r="R254" s="79">
        <f>ABS(Q254)+P254</f>
        <v>0.4</v>
      </c>
      <c r="S254" s="81">
        <v>1</v>
      </c>
      <c r="T254" s="83"/>
      <c r="U254" s="79">
        <f>ABS(T254)+S254</f>
        <v>1</v>
      </c>
      <c r="V254" s="80">
        <v>1.5</v>
      </c>
      <c r="W254" s="83"/>
      <c r="X254" s="79">
        <f>ABS(W254)+V254</f>
        <v>1.5</v>
      </c>
      <c r="Y254" s="82" t="str">
        <f>IF(OR(INDEX([1]Relação_Calibrações_Localização!$F$8:$F$259,MATCH(B254,[1]Relação_Calibrações_Localização!$B$8:$B$259,0))="PERDIDO",INDEX([1]Relação_Calibrações_Localização!F247:F497,MATCH(B254,[1]Relação_Calibrações_Localização!$B$8:$B$259,0))="NÃO LOCALIZADO"),"PERDIDO",
IF(OR(Q254="",T254="",W254=""),"INDETERMINADO",IF(MAX(R254,U254,X254)&lt;=5,"APROVADO","REPROVADO")))</f>
        <v>INDETERMINADO</v>
      </c>
    </row>
    <row r="255" spans="1:25" x14ac:dyDescent="0.25">
      <c r="A255" s="72">
        <v>37343102</v>
      </c>
      <c r="B255" s="73" t="s">
        <v>283</v>
      </c>
      <c r="C255" s="74">
        <v>45523</v>
      </c>
      <c r="D255" s="75">
        <v>45888</v>
      </c>
      <c r="E255" s="48">
        <v>454937</v>
      </c>
      <c r="F255" s="76">
        <v>0.2</v>
      </c>
      <c r="G255" s="83">
        <v>-0.11</v>
      </c>
      <c r="H255" s="78">
        <v>0.31</v>
      </c>
      <c r="I255" s="83">
        <v>-0.01</v>
      </c>
      <c r="J255" s="78">
        <v>0.21000000000000002</v>
      </c>
      <c r="K255" s="83">
        <v>0.09</v>
      </c>
      <c r="L255" s="78">
        <v>0.29000000000000004</v>
      </c>
      <c r="M255" s="83">
        <v>0.09</v>
      </c>
      <c r="N255" s="79">
        <v>0.29000000000000004</v>
      </c>
      <c r="O255" s="53" t="str">
        <f>IF(OR(INDEX([1]Relação_Calibrações_Localização!$F$8:$F$259,MATCH(B255,[1]Relação_Calibrações_Localização!$B$8:$B$259,0))="PERDIDO",INDEX([1]Relação_Calibrações_Localização!F248:F498,MATCH(B255,[1]Relação_Calibrações_Localização!$B$8:$B$259,0))="NÃO LOCALIZADO"),"PERDIDO",
IF(OR(G255="",I255="",K255="",M255=""),"INDETERMINADO",IF(MAX(H255,J255,L255,N255)&lt;=0.5,"APROVADO","REPROVADO")))</f>
        <v>APROVADO</v>
      </c>
      <c r="P255" s="80">
        <v>0.4</v>
      </c>
      <c r="Q255" s="83">
        <v>3.5</v>
      </c>
      <c r="R255" s="79">
        <v>3.9</v>
      </c>
      <c r="S255" s="81">
        <v>1</v>
      </c>
      <c r="T255" s="83">
        <v>1.9</v>
      </c>
      <c r="U255" s="79">
        <v>2.9</v>
      </c>
      <c r="V255" s="80">
        <v>1.5</v>
      </c>
      <c r="W255" s="83">
        <v>-2.2000000000000002</v>
      </c>
      <c r="X255" s="79">
        <v>3.7</v>
      </c>
      <c r="Y255" s="82" t="str">
        <f>IF(OR(INDEX([1]Relação_Calibrações_Localização!$F$8:$F$259,MATCH(B255,[1]Relação_Calibrações_Localização!$B$8:$B$259,0))="PERDIDO",INDEX([1]Relação_Calibrações_Localização!F248:F498,MATCH(B255,[1]Relação_Calibrações_Localização!$B$8:$B$259,0))="NÃO LOCALIZADO"),"PERDIDO",
IF(OR(Q255="",T255="",W255=""),"INDETERMINADO",IF(MAX(R255,U255,X255)&lt;=5,"APROVADO","REPROVADO")))</f>
        <v>APROVADO</v>
      </c>
    </row>
    <row r="256" spans="1:25" x14ac:dyDescent="0.25">
      <c r="A256" s="72">
        <v>37343104</v>
      </c>
      <c r="B256" s="73" t="s">
        <v>284</v>
      </c>
      <c r="C256" s="74">
        <v>45523</v>
      </c>
      <c r="D256" s="75">
        <v>45888</v>
      </c>
      <c r="E256" s="48">
        <v>454919</v>
      </c>
      <c r="F256" s="76">
        <v>0.2</v>
      </c>
      <c r="G256" s="83">
        <v>-0.01</v>
      </c>
      <c r="H256" s="78">
        <v>0.21000000000000002</v>
      </c>
      <c r="I256" s="83">
        <v>-0.01</v>
      </c>
      <c r="J256" s="78">
        <v>0.21000000000000002</v>
      </c>
      <c r="K256" s="83">
        <v>-0.01</v>
      </c>
      <c r="L256" s="78">
        <v>0.21000000000000002</v>
      </c>
      <c r="M256" s="83">
        <v>-0.01</v>
      </c>
      <c r="N256" s="79">
        <v>0.21000000000000002</v>
      </c>
      <c r="O256" s="53" t="str">
        <f>IF(OR(INDEX([1]Relação_Calibrações_Localização!$F$8:$F$259,MATCH(B256,[1]Relação_Calibrações_Localização!$B$8:$B$259,0))="PERDIDO",INDEX([1]Relação_Calibrações_Localização!F250:F500,MATCH(B256,[1]Relação_Calibrações_Localização!$B$8:$B$259,0))="NÃO LOCALIZADO"),"PERDIDO",
IF(OR(G256="",I256="",K256="",M256=""),"INDETERMINADO",IF(MAX(H256,J256,L256,N256)&lt;=0.5,"APROVADO","REPROVADO")))</f>
        <v>APROVADO</v>
      </c>
      <c r="P256" s="80">
        <v>0.4</v>
      </c>
      <c r="Q256" s="83">
        <v>3.5</v>
      </c>
      <c r="R256" s="79">
        <v>3.9</v>
      </c>
      <c r="S256" s="81">
        <v>1</v>
      </c>
      <c r="T256" s="83">
        <v>-0.1</v>
      </c>
      <c r="U256" s="79">
        <v>1.1000000000000001</v>
      </c>
      <c r="V256" s="80">
        <v>1.5</v>
      </c>
      <c r="W256" s="83">
        <v>-3.5</v>
      </c>
      <c r="X256" s="79">
        <v>5</v>
      </c>
      <c r="Y256" s="82" t="str">
        <f>IF(OR(INDEX([1]Relação_Calibrações_Localização!$F$8:$F$259,MATCH(B256,[1]Relação_Calibrações_Localização!$B$8:$B$259,0))="PERDIDO",INDEX([1]Relação_Calibrações_Localização!F250:F500,MATCH(B256,[1]Relação_Calibrações_Localização!$B$8:$B$259,0))="NÃO LOCALIZADO"),"PERDIDO",
IF(OR(Q256="",T256="",W256=""),"INDETERMINADO",IF(MAX(R256,U256,X256)&lt;=5,"APROVADO","REPROVADO")))</f>
        <v>APROVADO</v>
      </c>
    </row>
    <row r="257" spans="1:25" x14ac:dyDescent="0.25">
      <c r="A257" s="72">
        <v>37343105</v>
      </c>
      <c r="B257" s="73" t="s">
        <v>285</v>
      </c>
      <c r="C257" s="74">
        <v>43888</v>
      </c>
      <c r="D257" s="75">
        <f>EDATE(C257,12)</f>
        <v>44254</v>
      </c>
      <c r="E257" s="48">
        <v>255615</v>
      </c>
      <c r="F257" s="76">
        <v>0.15</v>
      </c>
      <c r="G257" s="83"/>
      <c r="H257" s="78">
        <f>ABS(G257)+F257</f>
        <v>0.15</v>
      </c>
      <c r="I257" s="83"/>
      <c r="J257" s="78">
        <f>ABS(I257)+F257</f>
        <v>0.15</v>
      </c>
      <c r="K257" s="83"/>
      <c r="L257" s="78">
        <f>ABS(K257)+F257</f>
        <v>0.15</v>
      </c>
      <c r="M257" s="83"/>
      <c r="N257" s="79">
        <f>ABS(M257)+F257</f>
        <v>0.15</v>
      </c>
      <c r="O257" s="53" t="str">
        <f>IF(OR(INDEX([1]Relação_Calibrações_Localização!$F$8:$F$259,MATCH(B257,[1]Relação_Calibrações_Localização!$B$8:$B$259,0))="PERDIDO",INDEX([1]Relação_Calibrações_Localização!F251:F501,MATCH(B257,[1]Relação_Calibrações_Localização!$B$8:$B$259,0))="NÃO LOCALIZADO"),"PERDIDO",
IF(OR(G257="",I257="",K257="",M257=""),"INDETERMINADO",IF(MAX(H257,J257,L257,N257)&lt;=0.5,"APROVADO","REPROVADO")))</f>
        <v>INDETERMINADO</v>
      </c>
      <c r="P257" s="80">
        <v>0.4</v>
      </c>
      <c r="Q257" s="83"/>
      <c r="R257" s="79">
        <f>ABS(Q257)+P257</f>
        <v>0.4</v>
      </c>
      <c r="S257" s="81">
        <v>1</v>
      </c>
      <c r="T257" s="83"/>
      <c r="U257" s="79">
        <f>ABS(T257)+S257</f>
        <v>1</v>
      </c>
      <c r="V257" s="80">
        <v>1.5</v>
      </c>
      <c r="W257" s="83"/>
      <c r="X257" s="79">
        <f>ABS(W257)+V257</f>
        <v>1.5</v>
      </c>
      <c r="Y257" s="82" t="str">
        <f>IF(OR(INDEX([1]Relação_Calibrações_Localização!$F$8:$F$259,MATCH(B257,[1]Relação_Calibrações_Localização!$B$8:$B$259,0))="PERDIDO",INDEX([1]Relação_Calibrações_Localização!F251:F501,MATCH(B257,[1]Relação_Calibrações_Localização!$B$8:$B$259,0))="NÃO LOCALIZADO"),"PERDIDO",
IF(OR(Q257="",T257="",W257=""),"INDETERMINADO",IF(MAX(R257,U257,X257)&lt;=5,"APROVADO","REPROVADO")))</f>
        <v>INDETERMINADO</v>
      </c>
    </row>
    <row r="258" spans="1:25" x14ac:dyDescent="0.25">
      <c r="A258" s="72">
        <v>37343108</v>
      </c>
      <c r="B258" s="84" t="s">
        <v>286</v>
      </c>
      <c r="C258" s="74">
        <v>45070</v>
      </c>
      <c r="D258" s="75">
        <v>45436</v>
      </c>
      <c r="E258" s="48">
        <v>382903</v>
      </c>
      <c r="F258" s="76">
        <v>0.2</v>
      </c>
      <c r="G258" s="83">
        <v>0.1</v>
      </c>
      <c r="H258" s="78">
        <v>0.30000000000000004</v>
      </c>
      <c r="I258" s="83">
        <v>0.1</v>
      </c>
      <c r="J258" s="78">
        <v>0.30000000000000004</v>
      </c>
      <c r="K258" s="83">
        <v>-0.1</v>
      </c>
      <c r="L258" s="78">
        <v>0.30000000000000004</v>
      </c>
      <c r="M258" s="83">
        <v>-0.2</v>
      </c>
      <c r="N258" s="79">
        <v>0.4</v>
      </c>
      <c r="O258" s="53" t="str">
        <f>IF(OR(INDEX([1]Relação_Calibrações_Localização!$F$8:$F$259,MATCH(B258,[1]Relação_Calibrações_Localização!$B$8:$B$259,0))="PERDIDO",INDEX([1]Relação_Calibrações_Localização!F253:F503,MATCH(B258,[1]Relação_Calibrações_Localização!$B$8:$B$259,0))="NÃO LOCALIZADO"),"PERDIDO",
IF(OR(G258="",I258="",K258="",M258=""),"INDETERMINADO",IF(MAX(H258,J258,L258,N258)&lt;=0.5,"APROVADO","REPROVADO")))</f>
        <v>APROVADO</v>
      </c>
      <c r="P258" s="80">
        <v>0.4</v>
      </c>
      <c r="Q258" s="83">
        <v>2.6</v>
      </c>
      <c r="R258" s="79">
        <v>3</v>
      </c>
      <c r="S258" s="81">
        <v>1</v>
      </c>
      <c r="T258" s="83">
        <v>2.2999999999999998</v>
      </c>
      <c r="U258" s="79">
        <v>3.3</v>
      </c>
      <c r="V258" s="80">
        <v>1.4</v>
      </c>
      <c r="W258" s="83">
        <v>-2.2999999999999998</v>
      </c>
      <c r="X258" s="79">
        <v>3.6999999999999997</v>
      </c>
      <c r="Y258" s="82" t="str">
        <f>IF(OR(INDEX([1]Relação_Calibrações_Localização!$F$8:$F$259,MATCH(B258,[1]Relação_Calibrações_Localização!$B$8:$B$259,0))="PERDIDO",INDEX([1]Relação_Calibrações_Localização!F253:F503,MATCH(B258,[1]Relação_Calibrações_Localização!$B$8:$B$259,0))="NÃO LOCALIZADO"),"PERDIDO",
IF(OR(Q258="",T258="",W258=""),"INDETERMINADO",IF(MAX(R258,U258,X258)&lt;=5,"APROVADO","REPROVADO")))</f>
        <v>APROVADO</v>
      </c>
    </row>
    <row r="259" spans="1:25" x14ac:dyDescent="0.25">
      <c r="A259" s="72">
        <v>37343112</v>
      </c>
      <c r="B259" s="85" t="s">
        <v>287</v>
      </c>
      <c r="C259" s="74">
        <v>45523</v>
      </c>
      <c r="D259" s="75">
        <v>45888</v>
      </c>
      <c r="E259" s="48">
        <v>454938</v>
      </c>
      <c r="F259" s="76">
        <v>0.2</v>
      </c>
      <c r="G259" s="83">
        <v>-0.11</v>
      </c>
      <c r="H259" s="78">
        <v>0.31</v>
      </c>
      <c r="I259" s="83">
        <v>-0.01</v>
      </c>
      <c r="J259" s="78">
        <v>0.21000000000000002</v>
      </c>
      <c r="K259" s="83">
        <v>-0.01</v>
      </c>
      <c r="L259" s="78">
        <v>0.21000000000000002</v>
      </c>
      <c r="M259" s="83">
        <v>0.09</v>
      </c>
      <c r="N259" s="79">
        <v>0.29000000000000004</v>
      </c>
      <c r="O259" s="53" t="str">
        <f>IF(OR(INDEX([1]Relação_Calibrações_Localização!$F$8:$F$259,MATCH(B259,[1]Relação_Calibrações_Localização!$B$8:$B$259,0))="PERDIDO",INDEX([1]Relação_Calibrações_Localização!F254:F504,MATCH(B259,[1]Relação_Calibrações_Localização!$B$8:$B$259,0))="NÃO LOCALIZADO"),"PERDIDO",
IF(OR(G259="",I259="",K259="",M259=""),"INDETERMINADO",IF(MAX(H259,J259,L259,N259)&lt;=0.5,"APROVADO","REPROVADO")))</f>
        <v>APROVADO</v>
      </c>
      <c r="P259" s="80">
        <v>0.4</v>
      </c>
      <c r="Q259" s="83">
        <v>3.5</v>
      </c>
      <c r="R259" s="79">
        <v>3.9</v>
      </c>
      <c r="S259" s="81">
        <v>1</v>
      </c>
      <c r="T259" s="83">
        <v>1</v>
      </c>
      <c r="U259" s="79">
        <v>2</v>
      </c>
      <c r="V259" s="80">
        <v>1.5</v>
      </c>
      <c r="W259" s="83">
        <v>-2.2000000000000002</v>
      </c>
      <c r="X259" s="79">
        <v>3.7</v>
      </c>
      <c r="Y259" s="82" t="str">
        <f>IF(OR(INDEX([1]Relação_Calibrações_Localização!$F$8:$F$259,MATCH(B259,[1]Relação_Calibrações_Localização!$B$8:$B$259,0))="PERDIDO",INDEX([1]Relação_Calibrações_Localização!F254:F504,MATCH(B259,[1]Relação_Calibrações_Localização!$B$8:$B$259,0))="NÃO LOCALIZADO"),"PERDIDO",
IF(OR(Q259="",T259="",W259=""),"INDETERMINADO",IF(MAX(R259,U259,X259)&lt;=5,"APROVADO","REPROVADO")))</f>
        <v>APROVADO</v>
      </c>
    </row>
    <row r="260" spans="1:25" x14ac:dyDescent="0.25">
      <c r="A260" s="72">
        <v>37343116</v>
      </c>
      <c r="B260" s="85" t="s">
        <v>288</v>
      </c>
      <c r="C260" s="74">
        <v>45523</v>
      </c>
      <c r="D260" s="75">
        <v>45888</v>
      </c>
      <c r="E260" s="48">
        <v>454939</v>
      </c>
      <c r="F260" s="76">
        <v>0.2</v>
      </c>
      <c r="G260" s="83">
        <v>-0.11</v>
      </c>
      <c r="H260" s="78">
        <v>0.31</v>
      </c>
      <c r="I260" s="83">
        <v>-0.01</v>
      </c>
      <c r="J260" s="78">
        <v>0.21000000000000002</v>
      </c>
      <c r="K260" s="83">
        <v>-0.01</v>
      </c>
      <c r="L260" s="78">
        <v>0.21000000000000002</v>
      </c>
      <c r="M260" s="83">
        <v>0.09</v>
      </c>
      <c r="N260" s="79">
        <v>0.29000000000000004</v>
      </c>
      <c r="O260" s="53" t="str">
        <f>IF(OR(INDEX([1]Relação_Calibrações_Localização!$F$8:$F$259,MATCH(B260,[1]Relação_Calibrações_Localização!$B$8:$B$259,0))="PERDIDO",INDEX([1]Relação_Calibrações_Localização!F255:F505,MATCH(B260,[1]Relação_Calibrações_Localização!$B$8:$B$259,0))="NÃO LOCALIZADO"),"PERDIDO",
IF(OR(G260="",I260="",K260="",M260=""),"INDETERMINADO",IF(MAX(H260,J260,L260,N260)&lt;=0.5,"APROVADO","REPROVADO")))</f>
        <v>APROVADO</v>
      </c>
      <c r="P260" s="80">
        <v>0.4</v>
      </c>
      <c r="Q260" s="83">
        <v>3.5</v>
      </c>
      <c r="R260" s="79">
        <v>3.9</v>
      </c>
      <c r="S260" s="81">
        <v>1</v>
      </c>
      <c r="T260" s="83">
        <v>0.8</v>
      </c>
      <c r="U260" s="79">
        <v>1.8</v>
      </c>
      <c r="V260" s="80">
        <v>1.5</v>
      </c>
      <c r="W260" s="83">
        <v>-3.5</v>
      </c>
      <c r="X260" s="79">
        <v>5</v>
      </c>
      <c r="Y260" s="82" t="str">
        <f>IF(OR(INDEX([1]Relação_Calibrações_Localização!$F$8:$F$259,MATCH(B260,[1]Relação_Calibrações_Localização!$B$8:$B$259,0))="PERDIDO",INDEX([1]Relação_Calibrações_Localização!F255:F505,MATCH(B260,[1]Relação_Calibrações_Localização!$B$8:$B$259,0))="NÃO LOCALIZADO"),"PERDIDO",
IF(OR(Q260="",T260="",W260=""),"INDETERMINADO",IF(MAX(R260,U260,X260)&lt;=5,"APROVADO","REPROVADO")))</f>
        <v>APROVADO</v>
      </c>
    </row>
    <row r="261" spans="1:25" x14ac:dyDescent="0.25">
      <c r="A261" s="72">
        <v>37343117</v>
      </c>
      <c r="B261" s="85" t="s">
        <v>289</v>
      </c>
      <c r="C261" s="74">
        <v>45523</v>
      </c>
      <c r="D261" s="75">
        <v>45888</v>
      </c>
      <c r="E261" s="48">
        <v>454940</v>
      </c>
      <c r="F261" s="76">
        <v>0.2</v>
      </c>
      <c r="G261" s="83">
        <v>-0.01</v>
      </c>
      <c r="H261" s="78">
        <v>0.21000000000000002</v>
      </c>
      <c r="I261" s="83">
        <v>-0.01</v>
      </c>
      <c r="J261" s="78">
        <v>0.21000000000000002</v>
      </c>
      <c r="K261" s="83">
        <v>-0.01</v>
      </c>
      <c r="L261" s="78">
        <v>0.21000000000000002</v>
      </c>
      <c r="M261" s="83">
        <v>0.09</v>
      </c>
      <c r="N261" s="79">
        <v>0.29000000000000004</v>
      </c>
      <c r="O261" s="53" t="str">
        <f>IF(OR(INDEX([1]Relação_Calibrações_Localização!$F$8:$F$259,MATCH(B261,[1]Relação_Calibrações_Localização!$B$8:$B$259,0))="PERDIDO",INDEX([1]Relação_Calibrações_Localização!F256:F506,MATCH(B261,[1]Relação_Calibrações_Localização!$B$8:$B$259,0))="NÃO LOCALIZADO"),"PERDIDO",
IF(OR(G261="",I261="",K261="",M261=""),"INDETERMINADO",IF(MAX(H261,J261,L261,N261)&lt;=0.5,"APROVADO","REPROVADO")))</f>
        <v>APROVADO</v>
      </c>
      <c r="P261" s="80">
        <v>0.4</v>
      </c>
      <c r="Q261" s="83">
        <v>3.5</v>
      </c>
      <c r="R261" s="79">
        <v>3.9</v>
      </c>
      <c r="S261" s="81">
        <v>1</v>
      </c>
      <c r="T261" s="83">
        <v>2.6</v>
      </c>
      <c r="U261" s="79">
        <v>3.6</v>
      </c>
      <c r="V261" s="80">
        <v>1.5</v>
      </c>
      <c r="W261" s="83">
        <v>-0.7</v>
      </c>
      <c r="X261" s="79">
        <v>2.2000000000000002</v>
      </c>
      <c r="Y261" s="82" t="str">
        <f>IF(OR(INDEX([1]Relação_Calibrações_Localização!$F$8:$F$259,MATCH(B261,[1]Relação_Calibrações_Localização!$B$8:$B$259,0))="PERDIDO",INDEX([1]Relação_Calibrações_Localização!F256:F506,MATCH(B261,[1]Relação_Calibrações_Localização!$B$8:$B$259,0))="NÃO LOCALIZADO"),"PERDIDO",
IF(OR(Q261="",T261="",W261=""),"INDETERMINADO",IF(MAX(R261,U261,X261)&lt;=5,"APROVADO","REPROVADO")))</f>
        <v>APROVADO</v>
      </c>
    </row>
    <row r="262" spans="1:25" x14ac:dyDescent="0.25">
      <c r="A262" s="72">
        <v>37343119</v>
      </c>
      <c r="B262" s="85" t="s">
        <v>290</v>
      </c>
      <c r="C262" s="74">
        <v>45523</v>
      </c>
      <c r="D262" s="75">
        <v>45888</v>
      </c>
      <c r="E262" s="48">
        <v>454980</v>
      </c>
      <c r="F262" s="76">
        <v>0.2</v>
      </c>
      <c r="G262" s="83">
        <v>-0.11</v>
      </c>
      <c r="H262" s="78">
        <v>0.31</v>
      </c>
      <c r="I262" s="83">
        <v>-0.01</v>
      </c>
      <c r="J262" s="78">
        <v>0.21000000000000002</v>
      </c>
      <c r="K262" s="83">
        <v>0.09</v>
      </c>
      <c r="L262" s="78">
        <v>0.29000000000000004</v>
      </c>
      <c r="M262" s="83">
        <v>0.09</v>
      </c>
      <c r="N262" s="79">
        <v>0.29000000000000004</v>
      </c>
      <c r="O262" s="53" t="str">
        <f>IF(OR(INDEX([1]Relação_Calibrações_Localização!$F$8:$F$259,MATCH(B262,[1]Relação_Calibrações_Localização!$B$8:$B$259,0))="PERDIDO",INDEX([1]Relação_Calibrações_Localização!F257:F507,MATCH(B262,[1]Relação_Calibrações_Localização!$B$8:$B$259,0))="NÃO LOCALIZADO"),"PERDIDO",
IF(OR(G262="",I262="",K262="",M262=""),"INDETERMINADO",IF(MAX(H262,J262,L262,N262)&lt;=0.5,"APROVADO","REPROVADO")))</f>
        <v>APROVADO</v>
      </c>
      <c r="P262" s="80">
        <v>0.4</v>
      </c>
      <c r="Q262" s="83">
        <v>3.5</v>
      </c>
      <c r="R262" s="79">
        <v>3.9</v>
      </c>
      <c r="S262" s="81">
        <v>1</v>
      </c>
      <c r="T262" s="83">
        <v>1</v>
      </c>
      <c r="U262" s="79">
        <v>2</v>
      </c>
      <c r="V262" s="80">
        <v>1.5</v>
      </c>
      <c r="W262" s="83">
        <v>-3.2</v>
      </c>
      <c r="X262" s="79">
        <v>4.7</v>
      </c>
      <c r="Y262" s="82" t="str">
        <f>IF(OR(INDEX([1]Relação_Calibrações_Localização!$F$8:$F$259,MATCH(B262,[1]Relação_Calibrações_Localização!$B$8:$B$259,0))="PERDIDO",INDEX([1]Relação_Calibrações_Localização!F257:F507,MATCH(B262,[1]Relação_Calibrações_Localização!$B$8:$B$259,0))="NÃO LOCALIZADO"),"PERDIDO",
IF(OR(Q262="",T262="",W262=""),"INDETERMINADO",IF(MAX(R262,U262,X262)&lt;=5,"APROVADO","REPROVADO")))</f>
        <v>APROVADO</v>
      </c>
    </row>
    <row r="263" spans="1:25" x14ac:dyDescent="0.25">
      <c r="A263" s="86">
        <v>37343891</v>
      </c>
      <c r="B263" s="73" t="s">
        <v>291</v>
      </c>
      <c r="C263" s="87">
        <v>45460</v>
      </c>
      <c r="D263" s="88">
        <v>45825</v>
      </c>
      <c r="E263" s="89">
        <v>443789</v>
      </c>
      <c r="F263" s="90">
        <v>0.2</v>
      </c>
      <c r="G263" s="83">
        <v>-0.01</v>
      </c>
      <c r="H263" s="91">
        <v>0.21000000000000002</v>
      </c>
      <c r="I263" s="83">
        <v>0.19</v>
      </c>
      <c r="J263" s="91">
        <v>0.39</v>
      </c>
      <c r="K263" s="83">
        <v>0.28999999999999998</v>
      </c>
      <c r="L263" s="91">
        <v>0.49</v>
      </c>
      <c r="M263" s="83">
        <v>0.28999999999999998</v>
      </c>
      <c r="N263" s="92">
        <v>0.49</v>
      </c>
      <c r="O263" s="53" t="e">
        <f>IF(OR(INDEX([1]Relação_Calibrações_Localização!$F$8:$F$259,MATCH(B263,[1]Relação_Calibrações_Localização!$B$8:$B$259,0))="PERDIDO",INDEX([1]Relação_Calibrações_Localização!F259:F509,MATCH(B263,[1]Relação_Calibrações_Localização!$B$8:$B$259,0))="NÃO LOCALIZADO"),"PERDIDO",
IF(OR(G263="",I263="",K263="",M263=""),"INDETERMINADO",IF(MAX(H263,J263,L263,N263)&lt;=0.5,"APROVADO","REPROVADO")))</f>
        <v>#REF!</v>
      </c>
      <c r="P263" s="93">
        <v>0.4</v>
      </c>
      <c r="Q263" s="83">
        <v>3.1</v>
      </c>
      <c r="R263" s="92">
        <v>3.5</v>
      </c>
      <c r="S263" s="94">
        <v>1</v>
      </c>
      <c r="T263" s="83">
        <v>1.8</v>
      </c>
      <c r="U263" s="92">
        <v>2.8</v>
      </c>
      <c r="V263" s="93">
        <v>1.5</v>
      </c>
      <c r="W263" s="83">
        <v>-3.2</v>
      </c>
      <c r="X263" s="92">
        <v>4.7</v>
      </c>
      <c r="Y263" s="82" t="e">
        <f>IF(OR(INDEX([1]Relação_Calibrações_Localização!$F$8:$F$259,MATCH(B263,[1]Relação_Calibrações_Localização!$B$8:$B$259,0))="PERDIDO",INDEX([1]Relação_Calibrações_Localização!F259:F509,MATCH(B263,[1]Relação_Calibrações_Localização!$B$8:$B$259,0))="NÃO LOCALIZADO"),"PERDIDO",
IF(OR(Q263="",T263="",W263=""),"INDETERMINADO",IF(MAX(R263,U263,X263)&lt;=5,"APROVADO","REPROVADO")))</f>
        <v>#REF!</v>
      </c>
    </row>
  </sheetData>
  <mergeCells count="24">
    <mergeCell ref="S10:U10"/>
    <mergeCell ref="V10:X10"/>
    <mergeCell ref="D10:E10"/>
    <mergeCell ref="G10:H10"/>
    <mergeCell ref="I10:J10"/>
    <mergeCell ref="K10:L10"/>
    <mergeCell ref="M10:N10"/>
    <mergeCell ref="P10:R10"/>
    <mergeCell ref="S7:Y7"/>
    <mergeCell ref="K8:L8"/>
    <mergeCell ref="N8:O8"/>
    <mergeCell ref="S8:Y8"/>
    <mergeCell ref="F9:O9"/>
    <mergeCell ref="P9:Y9"/>
    <mergeCell ref="D1:W3"/>
    <mergeCell ref="X1:Y3"/>
    <mergeCell ref="A5:B8"/>
    <mergeCell ref="F5:J8"/>
    <mergeCell ref="K5:R5"/>
    <mergeCell ref="S5:Y5"/>
    <mergeCell ref="K6:L6"/>
    <mergeCell ref="N6:O6"/>
    <mergeCell ref="S6:Y6"/>
    <mergeCell ref="K7:R7"/>
  </mergeCells>
  <conditionalFormatting sqref="V12:V263 O12:P263">
    <cfRule type="containsText" dxfId="2" priority="1" operator="containsText" text="REPROVADO">
      <formula>NOT(ISERROR(SEARCH("REPROVADO",O12)))</formula>
    </cfRule>
  </conditionalFormatting>
  <conditionalFormatting sqref="Y12:Y263">
    <cfRule type="containsText" dxfId="1" priority="3" operator="containsText" text="REPROVADO">
      <formula>NOT(ISERROR(SEARCH("REPROVADO",Y12)))</formula>
    </cfRule>
  </conditionalFormatting>
  <conditionalFormatting sqref="S12:S263">
    <cfRule type="containsText" dxfId="0" priority="2" operator="containsText" text="REPROVADO">
      <formula>NOT(ISERROR(SEARCH("REPROVADO",S12)))</formula>
    </cfRule>
  </conditionalFormatting>
  <pageMargins left="0.511811024" right="0.511811024" top="0.78740157499999996" bottom="0.78740157499999996" header="0.31496062000000002" footer="0.31496062000000002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Amorim Santos</dc:creator>
  <cp:lastModifiedBy>Mateus Amorim Santos</cp:lastModifiedBy>
  <cp:lastPrinted>2026-05-22T15:33:39Z</cp:lastPrinted>
  <dcterms:created xsi:type="dcterms:W3CDTF">2026-05-22T15:27:13Z</dcterms:created>
  <dcterms:modified xsi:type="dcterms:W3CDTF">2026-05-25T00:40:55Z</dcterms:modified>
</cp:coreProperties>
</file>